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Antigravity\公關品管理系統\"/>
    </mc:Choice>
  </mc:AlternateContent>
  <xr:revisionPtr revIDLastSave="0" documentId="8_{1C38B631-F208-4CAC-9DA8-6134D5770B1A}" xr6:coauthVersionLast="47" xr6:coauthVersionMax="47" xr10:uidLastSave="{00000000-0000-0000-0000-000000000000}"/>
  <bookViews>
    <workbookView xWindow="345" yWindow="2670" windowWidth="38700" windowHeight="15345" activeTab="4" xr2:uid="{00000000-000D-0000-FFFF-FFFF00000000}"/>
  </bookViews>
  <sheets>
    <sheet name="115.01" sheetId="1" r:id="rId1"/>
    <sheet name="115.02" sheetId="2" r:id="rId2"/>
    <sheet name="115.03" sheetId="3" r:id="rId3"/>
    <sheet name="115.04" sheetId="4" r:id="rId4"/>
    <sheet name="115.05"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17" i="5" l="1"/>
  <c r="AJ10" i="5"/>
  <c r="AJ11" i="5"/>
  <c r="AJ12" i="5"/>
  <c r="AJ13" i="5"/>
  <c r="AJ14" i="5"/>
  <c r="AJ15" i="5"/>
  <c r="AJ16" i="5"/>
  <c r="AJ18" i="5"/>
  <c r="AJ19" i="5"/>
  <c r="AJ20" i="5"/>
  <c r="AJ21" i="5"/>
  <c r="AJ22" i="5"/>
  <c r="AJ23" i="5"/>
  <c r="AJ24" i="5"/>
  <c r="AJ5" i="5"/>
  <c r="AJ6" i="5"/>
  <c r="AJ7" i="5"/>
  <c r="AJ8" i="5"/>
  <c r="AJ9" i="5"/>
  <c r="AJ4" i="5"/>
  <c r="F25" i="5" l="1"/>
  <c r="AH5" i="4"/>
  <c r="AH6" i="4"/>
  <c r="AH7" i="4"/>
  <c r="AH8" i="4"/>
  <c r="AH9" i="4"/>
  <c r="AH10" i="4"/>
  <c r="AH11" i="4"/>
  <c r="AH12" i="4"/>
  <c r="AH13" i="4"/>
  <c r="AH14" i="4"/>
  <c r="AH15" i="4"/>
  <c r="AH16" i="4"/>
  <c r="AH17" i="4"/>
  <c r="AH4" i="4"/>
  <c r="AH18" i="4"/>
  <c r="F19" i="4" l="1"/>
  <c r="AG5" i="3"/>
  <c r="AG6" i="3"/>
  <c r="AG7" i="3"/>
  <c r="AG8" i="3"/>
  <c r="AG9" i="3"/>
  <c r="AG10" i="3"/>
  <c r="AG11" i="3"/>
  <c r="AG12" i="3"/>
  <c r="AG13" i="3"/>
  <c r="AG14" i="3"/>
  <c r="AG15" i="3"/>
  <c r="AG16" i="3"/>
  <c r="AG17" i="3"/>
  <c r="AG18" i="3"/>
  <c r="AG4" i="3"/>
  <c r="F19" i="3" l="1"/>
  <c r="AF24" i="2"/>
  <c r="AF23" i="2"/>
  <c r="AF22" i="2"/>
  <c r="AF21" i="2"/>
  <c r="AF20" i="2"/>
  <c r="AF19" i="2"/>
  <c r="AF18" i="2"/>
  <c r="AF17" i="2"/>
  <c r="AF16" i="2"/>
  <c r="AF15" i="2"/>
  <c r="AF14" i="2"/>
  <c r="AF13" i="2"/>
  <c r="AF12" i="2"/>
  <c r="AF11" i="2"/>
  <c r="AF10" i="2"/>
  <c r="AF9" i="2"/>
  <c r="AF8" i="2"/>
  <c r="AF7" i="2"/>
  <c r="AF6" i="2"/>
  <c r="AF5" i="2"/>
  <c r="AF4" i="2"/>
  <c r="F25" i="2" l="1"/>
  <c r="AF5" i="1"/>
  <c r="AF6" i="1"/>
  <c r="AF7" i="1"/>
  <c r="AF8" i="1"/>
  <c r="AF9" i="1"/>
  <c r="AF10" i="1"/>
  <c r="AF11" i="1"/>
  <c r="AF12" i="1"/>
  <c r="AF13" i="1"/>
  <c r="AF14" i="1"/>
  <c r="AF15" i="1"/>
  <c r="AF4" i="1"/>
  <c r="AF24" i="1"/>
  <c r="AF23" i="1"/>
  <c r="AF22" i="1"/>
  <c r="AF21" i="1"/>
  <c r="AF20" i="1"/>
  <c r="AF19" i="1"/>
  <c r="AF18" i="1"/>
  <c r="AF17" i="1"/>
  <c r="AF16" i="1"/>
  <c r="F25" i="1" l="1"/>
</calcChain>
</file>

<file path=xl/sharedStrings.xml><?xml version="1.0" encoding="utf-8"?>
<sst xmlns="http://schemas.openxmlformats.org/spreadsheetml/2006/main" count="448" uniqueCount="204">
  <si>
    <t>單位代號</t>
    <phoneticPr fontId="3" type="noConversion"/>
  </si>
  <si>
    <t>申請單位</t>
    <phoneticPr fontId="3" type="noConversion"/>
  </si>
  <si>
    <t>姓名</t>
    <phoneticPr fontId="3" type="noConversion"/>
  </si>
  <si>
    <t>分機</t>
    <phoneticPr fontId="3" type="noConversion"/>
  </si>
  <si>
    <t>領取事由</t>
    <phoneticPr fontId="3" type="noConversion"/>
  </si>
  <si>
    <t xml:space="preserve">綠底手提紙袋(大) </t>
    <phoneticPr fontId="3" type="noConversion"/>
  </si>
  <si>
    <t xml:space="preserve">白底手提紙袋(小) </t>
    <phoneticPr fontId="3" type="noConversion"/>
  </si>
  <si>
    <t xml:space="preserve">不織布提袋 </t>
    <phoneticPr fontId="3" type="noConversion"/>
  </si>
  <si>
    <t>醫院三色筆(含觸控功能)</t>
    <phoneticPr fontId="3" type="noConversion"/>
  </si>
  <si>
    <t xml:space="preserve">便利貼 </t>
    <phoneticPr fontId="3" type="noConversion"/>
  </si>
  <si>
    <t xml:space="preserve">醫院L型資料夾 </t>
    <phoneticPr fontId="3" type="noConversion"/>
  </si>
  <si>
    <t xml:space="preserve">小麥環保餐具 </t>
    <phoneticPr fontId="3" type="noConversion"/>
  </si>
  <si>
    <t>A4拉鍊文件夾</t>
    <phoneticPr fontId="3" type="noConversion"/>
  </si>
  <si>
    <t>迷你皮革零錢包</t>
    <phoneticPr fontId="3" type="noConversion"/>
  </si>
  <si>
    <t>手機架</t>
    <phoneticPr fontId="3" type="noConversion"/>
  </si>
  <si>
    <t>復古麻布手提袋</t>
    <phoneticPr fontId="3" type="noConversion"/>
  </si>
  <si>
    <t xml:space="preserve">證書封套 </t>
    <phoneticPr fontId="3" type="noConversion"/>
  </si>
  <si>
    <t xml:space="preserve">16G白皮隨身碟 </t>
    <phoneticPr fontId="3" type="noConversion"/>
  </si>
  <si>
    <t>北歐風陶瓷馬克杯</t>
    <phoneticPr fontId="3" type="noConversion"/>
  </si>
  <si>
    <t>小畫茶包禮盒(10入)</t>
    <phoneticPr fontId="3" type="noConversion"/>
  </si>
  <si>
    <t xml:space="preserve">牡丹．圓茶包禮盒 </t>
    <phoneticPr fontId="3" type="noConversion"/>
  </si>
  <si>
    <t>台灣印記(四季春+飄逸杯)</t>
    <phoneticPr fontId="3" type="noConversion"/>
  </si>
  <si>
    <t>沾出好運米醬油禮盒</t>
    <phoneticPr fontId="3" type="noConversion"/>
  </si>
  <si>
    <t>日月紅玉養生堅果禮盒</t>
    <phoneticPr fontId="3" type="noConversion"/>
  </si>
  <si>
    <t>小畫祈福茶禮盒(雙盒)</t>
    <phoneticPr fontId="3" type="noConversion"/>
  </si>
  <si>
    <t>賀卡信封套</t>
    <phoneticPr fontId="3" type="noConversion"/>
  </si>
  <si>
    <t>萬年卡(內頁+內襯+信封)</t>
    <phoneticPr fontId="3" type="noConversion"/>
  </si>
  <si>
    <t>古典玫瑰園</t>
    <phoneticPr fontId="3" type="noConversion"/>
  </si>
  <si>
    <t>北醫收納包</t>
    <phoneticPr fontId="3" type="noConversion"/>
  </si>
  <si>
    <t>弧形杯</t>
    <phoneticPr fontId="3" type="noConversion"/>
  </si>
  <si>
    <t>總計</t>
    <phoneticPr fontId="3" type="noConversion"/>
  </si>
  <si>
    <t>單價</t>
    <phoneticPr fontId="3" type="noConversion"/>
  </si>
  <si>
    <t>金額</t>
    <phoneticPr fontId="3" type="noConversion"/>
  </si>
  <si>
    <t>護理部</t>
  </si>
  <si>
    <t>J000</t>
  </si>
  <si>
    <t>預防醫學暨社區醫學部</t>
  </si>
  <si>
    <t>林秀純</t>
  </si>
  <si>
    <t>承辦人：吳筱涵</t>
    <phoneticPr fontId="3" type="noConversion"/>
  </si>
  <si>
    <t>單位主管：</t>
    <phoneticPr fontId="3" type="noConversion"/>
  </si>
  <si>
    <t>872A</t>
  </si>
  <si>
    <t>護理之家</t>
  </si>
  <si>
    <t>陳文儀</t>
  </si>
  <si>
    <t>1/31護理之家歲末年歡活動獎品</t>
  </si>
  <si>
    <t>許玉紋</t>
  </si>
  <si>
    <t>J100</t>
  </si>
  <si>
    <t>癌症中心</t>
  </si>
  <si>
    <t>許祐飛</t>
  </si>
  <si>
    <t>緩和療護團隊於115年1月13日至和信醫院進行緩和醫療標竿學習參訪</t>
  </si>
  <si>
    <t>E700</t>
  </si>
  <si>
    <t>永續發展室</t>
  </si>
  <si>
    <t>李育賢</t>
  </si>
  <si>
    <t>永續報告書問卷發放，擬贈送禮品提升民眾填答意願</t>
  </si>
  <si>
    <t>黃曉萍</t>
  </si>
  <si>
    <t>護理部北中南獨立招募</t>
  </si>
  <si>
    <t>參訪文山區社區資源單位-天使心身障服務機構轉介長照服務個案</t>
  </si>
  <si>
    <t>廖顯翊</t>
  </si>
  <si>
    <t>健康台灣-大文山ESG聯盟簽約儀式贈禮使用</t>
  </si>
  <si>
    <t>健康台灣深耕計畫-範疇4.5-大文山ESG行動聯盟啟動儀式</t>
  </si>
  <si>
    <t>蘇慧娟</t>
  </si>
  <si>
    <t>參訪附醫兒童癌症醫療設備</t>
  </si>
  <si>
    <t>1.9拜訪樹人醫專主管</t>
    <phoneticPr fontId="3" type="noConversion"/>
  </si>
  <si>
    <t>1月13日緩和療護團隊去和信醫院進行緩和標竿學習參訪</t>
    <phoneticPr fontId="3" type="noConversion"/>
  </si>
  <si>
    <t>緩和療護團隊於1月23日至臺北榮總進行緩和醫療標竿學習參訪</t>
    <phoneticPr fontId="3" type="noConversion"/>
  </si>
  <si>
    <t>北醫平安包</t>
    <phoneticPr fontId="3" type="noConversion"/>
  </si>
  <si>
    <t>115年1月公關品成本歸戶</t>
    <phoneticPr fontId="3" type="noConversion"/>
  </si>
  <si>
    <t>115年2月公關品成本歸戶</t>
    <phoneticPr fontId="3" type="noConversion"/>
  </si>
  <si>
    <t>院長室</t>
  </si>
  <si>
    <t>高靖秋</t>
  </si>
  <si>
    <t>參訪</t>
  </si>
  <si>
    <t>k100</t>
  </si>
  <si>
    <t>教學部</t>
  </si>
  <si>
    <t>趙宗麗</t>
  </si>
  <si>
    <t>全院學術活動頒發感謝狀</t>
  </si>
  <si>
    <t>M200</t>
  </si>
  <si>
    <t>醫品部品保組</t>
  </si>
  <si>
    <t>陳雅如</t>
  </si>
  <si>
    <t>頒發114年醫品病安推動成果展暨海報競賽獎狀</t>
  </si>
  <si>
    <t>E900</t>
  </si>
  <si>
    <t>社工室</t>
  </si>
  <si>
    <t>何豐聿</t>
  </si>
  <si>
    <t>2/13(五)院長獨老關懷用</t>
  </si>
  <si>
    <t>K200</t>
  </si>
  <si>
    <t>研究部</t>
  </si>
  <si>
    <t>姚智榮</t>
  </si>
  <si>
    <t>贈送應邀來本院演講的北科大教授</t>
  </si>
  <si>
    <t>BU00</t>
  </si>
  <si>
    <t>事業發展部</t>
  </si>
  <si>
    <t>陳尚臻</t>
  </si>
  <si>
    <t>帶至菲律賓進行參訪交流</t>
  </si>
  <si>
    <t>C100</t>
    <phoneticPr fontId="3" type="noConversion"/>
  </si>
  <si>
    <t>115年3月公關品成本歸戶</t>
    <phoneticPr fontId="3" type="noConversion"/>
  </si>
  <si>
    <t>教學研究組</t>
    <phoneticPr fontId="3" type="noConversion"/>
  </si>
  <si>
    <t>彭筠婷</t>
    <phoneticPr fontId="3" type="noConversion"/>
  </si>
  <si>
    <t>嘉南藥理大學、台北醫學大學兩校就業博覽會招募活動</t>
    <phoneticPr fontId="3" type="noConversion"/>
  </si>
  <si>
    <t>林星彤</t>
  </si>
  <si>
    <t>黃俊凱</t>
  </si>
  <si>
    <t>陳昕儀</t>
  </si>
  <si>
    <t>楊騏銘</t>
  </si>
  <si>
    <t>廖婉茹</t>
  </si>
  <si>
    <t>黃小庭</t>
  </si>
  <si>
    <t>鄭桂如</t>
  </si>
  <si>
    <t>施延律</t>
  </si>
  <si>
    <t>林莉萍</t>
  </si>
  <si>
    <t>吳筱涵</t>
  </si>
  <si>
    <t>醫學檢驗科</t>
  </si>
  <si>
    <t>秘書室</t>
  </si>
  <si>
    <t>公共事務組</t>
  </si>
  <si>
    <t>藥劑部</t>
  </si>
  <si>
    <t>社醫部</t>
  </si>
  <si>
    <t>心臟內科</t>
  </si>
  <si>
    <t>3/11 日本師生參訪(33人) 3/25 德育護理健康學院護理系師生參訪(41人)</t>
    <phoneticPr fontId="3" type="noConversion"/>
  </si>
  <si>
    <t>3/13拜訪中國醫藥大學</t>
    <phoneticPr fontId="3" type="noConversion"/>
  </si>
  <si>
    <t>3/19 2026TMU產業實習x就業媒合博覽會上使用</t>
    <phoneticPr fontId="3" type="noConversion"/>
  </si>
  <si>
    <t>瑠公圳募款餐會禮品</t>
    <phoneticPr fontId="3" type="noConversion"/>
  </si>
  <si>
    <t>E100</t>
    <phoneticPr fontId="3" type="noConversion"/>
  </si>
  <si>
    <t>小畫祈福茶禮盒</t>
    <phoneticPr fontId="3" type="noConversion"/>
  </si>
  <si>
    <t>中國醫藥大學入班說明</t>
    <phoneticPr fontId="3" type="noConversion"/>
  </si>
  <si>
    <t>E110</t>
    <phoneticPr fontId="3" type="noConversion"/>
  </si>
  <si>
    <t>文二分局長拜訪</t>
    <phoneticPr fontId="3" type="noConversion"/>
  </si>
  <si>
    <t>K100</t>
    <phoneticPr fontId="3" type="noConversion"/>
  </si>
  <si>
    <t>招募活動與工作坊活動文具用品</t>
    <phoneticPr fontId="3" type="noConversion"/>
  </si>
  <si>
    <t>校園徵才</t>
    <phoneticPr fontId="3" type="noConversion"/>
  </si>
  <si>
    <t>校園招募用</t>
    <phoneticPr fontId="3" type="noConversion"/>
  </si>
  <si>
    <t>#6324</t>
    <phoneticPr fontId="3" type="noConversion"/>
  </si>
  <si>
    <t>參訪台北慈濟藥劑部</t>
    <phoneticPr fontId="3" type="noConversion"/>
  </si>
  <si>
    <t>J004</t>
    <phoneticPr fontId="3" type="noConversion"/>
  </si>
  <si>
    <t>給予購買遠距照護方案之年費會員，裝附贈儀器與耗材用</t>
    <phoneticPr fontId="3" type="noConversion"/>
  </si>
  <si>
    <t>國際研討會提供講者禮品</t>
    <phoneticPr fontId="3" type="noConversion"/>
  </si>
  <si>
    <t>舞清香茶葉禮盒</t>
    <phoneticPr fontId="3" type="noConversion"/>
  </si>
  <si>
    <t>親山健行活動贈品</t>
    <phoneticPr fontId="3" type="noConversion"/>
  </si>
  <si>
    <t>115年4月公關品成本歸戶</t>
    <phoneticPr fontId="3" type="noConversion"/>
  </si>
  <si>
    <t>李美嫻</t>
  </si>
  <si>
    <t>外傷急症外科</t>
  </si>
  <si>
    <t>李怡真</t>
  </si>
  <si>
    <t>ND</t>
  </si>
  <si>
    <t>林步鴻</t>
  </si>
  <si>
    <t>游麗芬</t>
  </si>
  <si>
    <t>黃思惠</t>
  </si>
  <si>
    <t>E700</t>
    <phoneticPr fontId="3" type="noConversion"/>
  </si>
  <si>
    <t>社會處方箋專案「植感生活指南」活動用</t>
    <phoneticPr fontId="3" type="noConversion"/>
  </si>
  <si>
    <t>臺北醫學大學體系2026新加坡醫療永續考察(院長帶隊)致贈地主團隊使用</t>
    <phoneticPr fontId="3" type="noConversion"/>
  </si>
  <si>
    <t>校園徵才禮品</t>
    <phoneticPr fontId="3" type="noConversion"/>
  </si>
  <si>
    <t>護理部</t>
    <phoneticPr fontId="3" type="noConversion"/>
  </si>
  <si>
    <t>邀請院外講師來本院演講</t>
    <phoneticPr fontId="3" type="noConversion"/>
  </si>
  <si>
    <t>1C00</t>
    <phoneticPr fontId="3" type="noConversion"/>
  </si>
  <si>
    <t>BU00</t>
    <phoneticPr fontId="3" type="noConversion"/>
  </si>
  <si>
    <t>出訪菲律賓及索馬利蘭、外賓參訪本院等禮品申請</t>
    <phoneticPr fontId="3" type="noConversion"/>
  </si>
  <si>
    <t>樹人醫專參訪</t>
    <phoneticPr fontId="3" type="noConversion"/>
  </si>
  <si>
    <t>樹人醫護管理專科學校董事長率團參訪交流</t>
    <phoneticPr fontId="3" type="noConversion"/>
  </si>
  <si>
    <t>台華窯擺飾瓷盤</t>
    <phoneticPr fontId="3" type="noConversion"/>
  </si>
  <si>
    <t>萬芳之友感謝狀及健檢卷遠距劵資料提供</t>
    <phoneticPr fontId="3" type="noConversion"/>
  </si>
  <si>
    <t>樹人董事會參訪</t>
    <phoneticPr fontId="3" type="noConversion"/>
  </si>
  <si>
    <t>致贈台灣金山財神廟慈善會及民眾週輝雄先生捐贈物資給本院貧困病人使用</t>
    <phoneticPr fontId="3" type="noConversion"/>
  </si>
  <si>
    <t>E900</t>
    <phoneticPr fontId="3" type="noConversion"/>
  </si>
  <si>
    <t>T-CER團隊訓練用</t>
    <phoneticPr fontId="3" type="noConversion"/>
  </si>
  <si>
    <t>全院學術活動講師感謝狀</t>
  </si>
  <si>
    <t>k100</t>
    <phoneticPr fontId="3" type="noConversion"/>
  </si>
  <si>
    <t>115年5月公關品成本歸戶</t>
    <phoneticPr fontId="3" type="noConversion"/>
  </si>
  <si>
    <t>鄭淇佑</t>
  </si>
  <si>
    <t>陳亮甫</t>
  </si>
  <si>
    <t>林翊嫻</t>
  </si>
  <si>
    <t>姜甄緹</t>
  </si>
  <si>
    <t>陳韻潔</t>
  </si>
  <si>
    <t>趙云禎</t>
  </si>
  <si>
    <t>郭家英</t>
  </si>
  <si>
    <t>王國馨</t>
  </si>
  <si>
    <t>外科部</t>
  </si>
  <si>
    <t>感染管制室</t>
  </si>
  <si>
    <t>韌性醫療籌備中心</t>
  </si>
  <si>
    <t>結核病中心</t>
  </si>
  <si>
    <t>營養室</t>
  </si>
  <si>
    <t>健康台灣專案辦公室</t>
  </si>
  <si>
    <t>秘書組</t>
  </si>
  <si>
    <t>D820</t>
    <phoneticPr fontId="3" type="noConversion"/>
  </si>
  <si>
    <t>5/5-/5/12 手部衛生活動響應</t>
    <phoneticPr fontId="3" type="noConversion"/>
  </si>
  <si>
    <t>CE00</t>
    <phoneticPr fontId="3" type="noConversion"/>
  </si>
  <si>
    <t>韌性醫療場勘拜訪興華國小</t>
    <phoneticPr fontId="3" type="noConversion"/>
  </si>
  <si>
    <t>梁副辦公室備用</t>
    <phoneticPr fontId="3" type="noConversion"/>
  </si>
  <si>
    <t>高階平安包</t>
    <phoneticPr fontId="3" type="noConversion"/>
  </si>
  <si>
    <t>社區演習場勘拜訪興華國小</t>
    <phoneticPr fontId="3" type="noConversion"/>
  </si>
  <si>
    <t>K242</t>
    <phoneticPr fontId="3" type="noConversion"/>
  </si>
  <si>
    <t>0986421481</t>
    <phoneticPr fontId="3" type="noConversion"/>
  </si>
  <si>
    <t>與宜蘭陽明交通大學附設醫院簽約合作</t>
    <phoneticPr fontId="3" type="noConversion"/>
  </si>
  <si>
    <t>0518聖母醫護管理專科學校校長暨科主任參訪交流</t>
    <phoneticPr fontId="3" type="noConversion"/>
  </si>
  <si>
    <t xml:space="preserve">茶籽堂肖楠葉純淨洗手露
旅行瓶 </t>
    <phoneticPr fontId="3" type="noConversion"/>
  </si>
  <si>
    <t>聖母護專校長拜訪</t>
    <phoneticPr fontId="3" type="noConversion"/>
  </si>
  <si>
    <t>提供崇仁護專畢業典禮-實習優良獎</t>
    <phoneticPr fontId="3" type="noConversion"/>
  </si>
  <si>
    <t>崇仁實習優良獎</t>
    <phoneticPr fontId="3" type="noConversion"/>
  </si>
  <si>
    <t>J000</t>
    <phoneticPr fontId="3" type="noConversion"/>
  </si>
  <si>
    <t>參訪新成立日照中心</t>
    <phoneticPr fontId="3" type="noConversion"/>
  </si>
  <si>
    <t>辦理本院長照A單位與院外合作B單位年度聯繫會</t>
    <phoneticPr fontId="3" type="noConversion"/>
  </si>
  <si>
    <t>05/26礦工醫院「進階制度交流會」</t>
    <phoneticPr fontId="3" type="noConversion"/>
  </si>
  <si>
    <t>參訪徵才使用</t>
    <phoneticPr fontId="3" type="noConversion"/>
  </si>
  <si>
    <t>F100</t>
    <phoneticPr fontId="3" type="noConversion"/>
  </si>
  <si>
    <t>教學訓練</t>
    <phoneticPr fontId="3" type="noConversion"/>
  </si>
  <si>
    <t>菲律賓媒體至本院交流參訪</t>
    <phoneticPr fontId="3" type="noConversion"/>
  </si>
  <si>
    <t>W008</t>
    <phoneticPr fontId="3" type="noConversion"/>
  </si>
  <si>
    <t>院長率團至UCLA等機構訪問，洽談交流合作事宜</t>
    <phoneticPr fontId="3" type="noConversion"/>
  </si>
  <si>
    <t>E130</t>
    <phoneticPr fontId="3" type="noConversion"/>
  </si>
  <si>
    <t>6/2生策會拜訪</t>
    <phoneticPr fontId="3" type="noConversion"/>
  </si>
  <si>
    <t>陳盈伃</t>
    <phoneticPr fontId="3" type="noConversion"/>
  </si>
  <si>
    <t>C300</t>
    <phoneticPr fontId="3" type="noConversion"/>
  </si>
  <si>
    <t>院長室</t>
    <phoneticPr fontId="3" type="noConversion"/>
  </si>
  <si>
    <t>5/14 參院中榮達文西參訪交流活動</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</si>
</sst>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Red]\(0.00\)"/>
    <numFmt numFmtId="177" formatCode="#,##0.0_);[Red]\(#,##0.0\)"/>
    <numFmt numFmtId="178" formatCode="#,##0_);[Red]\(#,##0\)"/>
  </numFmts>
  <fonts count="14" x14ac:knownFonts="1">
    <font>
      <sz val="12"/>
      <name val="新細明體"/>
      <family val="1"/>
      <charset val="136"/>
    </font>
    <font>
      <b/>
      <sz val="12"/>
      <color theme="1"/>
      <name val="微軟正黑體"/>
      <family val="2"/>
      <charset val="136"/>
    </font>
    <font>
      <b/>
      <sz val="22"/>
      <name val="微軟正黑體"/>
      <family val="2"/>
      <charset val="136"/>
    </font>
    <font>
      <sz val="9"/>
      <name val="新細明體"/>
      <family val="1"/>
      <charset val="136"/>
    </font>
    <font>
      <sz val="12"/>
      <name val="微軟正黑體"/>
      <family val="2"/>
      <charset val="136"/>
    </font>
    <font>
      <b/>
      <sz val="11"/>
      <name val="微軟正黑體"/>
      <family val="2"/>
      <charset val="136"/>
    </font>
    <font>
      <b/>
      <sz val="11"/>
      <color indexed="8"/>
      <name val="微軟正黑體"/>
      <family val="2"/>
      <charset val="136"/>
    </font>
    <font>
      <sz val="11"/>
      <color theme="1"/>
      <name val="微軟正黑體"/>
      <family val="2"/>
      <charset val="136"/>
    </font>
    <font>
      <b/>
      <sz val="12"/>
      <name val="Microsoft YaHei"/>
      <family val="2"/>
      <charset val="134"/>
    </font>
    <font>
      <b/>
      <sz val="12"/>
      <name val="微軟正黑體"/>
      <family val="2"/>
      <charset val="136"/>
    </font>
    <font>
      <b/>
      <sz val="14"/>
      <color rgb="FFFF0000"/>
      <name val="微軟正黑體"/>
      <family val="2"/>
      <charset val="136"/>
    </font>
    <font>
      <sz val="14"/>
      <name val="微軟正黑體"/>
      <family val="2"/>
      <charset val="136"/>
    </font>
    <font>
      <b/>
      <sz val="14"/>
      <name val="微軟正黑體"/>
      <family val="2"/>
      <charset val="136"/>
    </font>
    <font>
      <sz val="10"/>
      <color theme="1"/>
      <name val="新細明體"/>
      <family val="1"/>
      <charset val="136"/>
      <scheme val="minor"/>
    </font>
  </fonts>
  <fills count="5">
    <fill>
      <patternFill patternType="none"/>
    </fill>
    <fill>
      <patternFill patternType="gray125"/>
    </fill>
    <fill>
      <patternFill patternType="solid">
        <fgColor theme="5" tint="0.79998168889431442"/>
        <bgColor indexed="64"/>
      </patternFill>
    </fill>
    <fill>
      <patternFill patternType="solid">
        <fgColor rgb="FFFFFFFF"/>
        <bgColor rgb="FFFFFFFF"/>
      </patternFill>
    </fill>
    <fill>
      <patternFill patternType="solid">
        <fgColor rgb="FFF8F9FA"/>
        <bgColor rgb="FFF8F9FA"/>
      </patternFill>
    </fill>
  </fills>
  <borders count="7">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0" fontId="4" fillId="0" borderId="0" xfId="0" applyFont="1"/>
    <xf numFmtId="0" fontId="6" fillId="0" borderId="2" xfId="0" applyFont="1" applyBorder="1" applyAlignment="1">
      <alignment horizontal="center" vertical="center" wrapText="1"/>
    </xf>
    <xf numFmtId="0" fontId="7" fillId="0" borderId="2" xfId="0" applyFont="1" applyBorder="1" applyAlignment="1">
      <alignment vertical="top" textRotation="255"/>
    </xf>
    <xf numFmtId="0" fontId="7" fillId="0" borderId="2" xfId="0" applyFont="1" applyBorder="1" applyAlignment="1">
      <alignment vertical="top" textRotation="255" wrapText="1"/>
    </xf>
    <xf numFmtId="0" fontId="4" fillId="0" borderId="2" xfId="0" applyFont="1" applyBorder="1" applyAlignment="1">
      <alignment vertical="center" textRotation="255"/>
    </xf>
    <xf numFmtId="0" fontId="4" fillId="0" borderId="0" xfId="0" applyFont="1" applyAlignment="1">
      <alignment textRotation="255"/>
    </xf>
    <xf numFmtId="0" fontId="1" fillId="2" borderId="2" xfId="0" applyFont="1" applyFill="1" applyBorder="1" applyAlignment="1">
      <alignment horizontal="center" vertical="center" wrapText="1"/>
    </xf>
    <xf numFmtId="0" fontId="1" fillId="2" borderId="2" xfId="0" applyFont="1" applyFill="1" applyBorder="1" applyAlignment="1">
      <alignment horizontal="center" vertical="center"/>
    </xf>
    <xf numFmtId="176" fontId="1" fillId="2" borderId="2" xfId="0" applyNumberFormat="1" applyFont="1" applyFill="1" applyBorder="1" applyAlignment="1">
      <alignment horizontal="center" vertical="center"/>
    </xf>
    <xf numFmtId="2" fontId="1" fillId="2" borderId="2" xfId="0" applyNumberFormat="1" applyFont="1" applyFill="1" applyBorder="1" applyAlignment="1">
      <alignment horizontal="center" vertical="center"/>
    </xf>
    <xf numFmtId="0" fontId="8" fillId="2" borderId="2" xfId="0" applyFont="1" applyFill="1" applyBorder="1" applyAlignment="1">
      <alignment horizontal="center"/>
    </xf>
    <xf numFmtId="0" fontId="7" fillId="3" borderId="2" xfId="0" applyFont="1" applyFill="1" applyBorder="1" applyAlignment="1">
      <alignment horizontal="left" vertical="center"/>
    </xf>
    <xf numFmtId="0" fontId="7" fillId="3" borderId="2" xfId="0" applyFont="1" applyFill="1" applyBorder="1" applyAlignment="1">
      <alignment horizontal="center" vertical="center"/>
    </xf>
    <xf numFmtId="0" fontId="1" fillId="0" borderId="2" xfId="0" applyFont="1" applyBorder="1" applyAlignment="1">
      <alignment horizontal="center" vertical="center"/>
    </xf>
    <xf numFmtId="0" fontId="9" fillId="0" borderId="2" xfId="0" applyFont="1" applyBorder="1" applyAlignment="1">
      <alignment horizontal="center"/>
    </xf>
    <xf numFmtId="0" fontId="9" fillId="0" borderId="2" xfId="0" applyFont="1" applyBorder="1"/>
    <xf numFmtId="177" fontId="10" fillId="0" borderId="2" xfId="0" applyNumberFormat="1" applyFont="1" applyBorder="1" applyAlignment="1">
      <alignment horizontal="right" vertical="center" wrapText="1"/>
    </xf>
    <xf numFmtId="0" fontId="7" fillId="4" borderId="2" xfId="0" applyFont="1" applyFill="1" applyBorder="1" applyAlignment="1">
      <alignment horizontal="left" vertical="center"/>
    </xf>
    <xf numFmtId="0" fontId="7" fillId="4" borderId="2" xfId="0" applyFont="1" applyFill="1" applyBorder="1" applyAlignment="1">
      <alignment horizontal="center" vertical="center"/>
    </xf>
    <xf numFmtId="0" fontId="1" fillId="4" borderId="2" xfId="0" applyFont="1" applyFill="1" applyBorder="1" applyAlignment="1">
      <alignment horizontal="center" vertical="center"/>
    </xf>
    <xf numFmtId="0" fontId="1" fillId="3" borderId="2" xfId="0" applyFont="1" applyFill="1" applyBorder="1" applyAlignment="1">
      <alignment horizontal="center" vertical="center"/>
    </xf>
    <xf numFmtId="0" fontId="4" fillId="0" borderId="0" xfId="0" applyFont="1" applyAlignment="1">
      <alignment horizontal="center"/>
    </xf>
    <xf numFmtId="0" fontId="13" fillId="0" borderId="0" xfId="0" applyFont="1" applyAlignment="1">
      <alignment horizontal="left"/>
    </xf>
    <xf numFmtId="0" fontId="7" fillId="0" borderId="2" xfId="0" applyFont="1" applyBorder="1" applyAlignment="1">
      <alignment horizontal="center" vertical="top" textRotation="255"/>
    </xf>
    <xf numFmtId="0" fontId="7" fillId="0" borderId="2" xfId="0" applyFont="1" applyBorder="1" applyAlignment="1">
      <alignment horizontal="center" vertical="top" textRotation="255" wrapText="1"/>
    </xf>
    <xf numFmtId="0" fontId="7" fillId="0" borderId="0" xfId="0" applyFont="1"/>
    <xf numFmtId="0" fontId="7" fillId="0" borderId="2" xfId="0" applyFont="1" applyBorder="1"/>
    <xf numFmtId="0" fontId="7" fillId="3" borderId="2" xfId="0" quotePrefix="1" applyFont="1" applyFill="1" applyBorder="1" applyAlignment="1">
      <alignment horizontal="left" vertical="center"/>
    </xf>
    <xf numFmtId="0" fontId="7" fillId="4" borderId="2" xfId="0" quotePrefix="1" applyFont="1" applyFill="1" applyBorder="1" applyAlignment="1">
      <alignment horizontal="center" vertical="center"/>
    </xf>
    <xf numFmtId="49" fontId="12" fillId="0" borderId="2" xfId="0" applyNumberFormat="1" applyFont="1" applyBorder="1" applyAlignment="1">
      <alignment horizontal="center" vertical="center" wrapText="1"/>
    </xf>
    <xf numFmtId="0" fontId="12" fillId="0" borderId="2" xfId="0" applyFont="1" applyBorder="1" applyAlignment="1">
      <alignment vertical="center" wrapText="1"/>
    </xf>
    <xf numFmtId="0" fontId="12" fillId="0" borderId="2" xfId="0" applyFont="1" applyBorder="1" applyAlignment="1">
      <alignment horizontal="center"/>
    </xf>
    <xf numFmtId="0" fontId="2" fillId="0" borderId="0" xfId="0" applyFont="1" applyAlignment="1">
      <alignment horizontal="center"/>
    </xf>
    <xf numFmtId="49" fontId="5" fillId="0" borderId="1" xfId="0" applyNumberFormat="1" applyFont="1" applyBorder="1" applyAlignment="1">
      <alignment horizontal="center" vertical="center" wrapText="1"/>
    </xf>
    <xf numFmtId="49" fontId="5" fillId="0" borderId="3"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5" fillId="0" borderId="3" xfId="0" applyFont="1" applyBorder="1" applyAlignment="1">
      <alignment horizontal="center" vertical="center" wrapText="1"/>
    </xf>
    <xf numFmtId="49" fontId="11" fillId="0" borderId="4" xfId="0" applyNumberFormat="1" applyFont="1" applyBorder="1" applyAlignment="1">
      <alignment horizontal="center" vertical="center" wrapText="1"/>
    </xf>
    <xf numFmtId="49" fontId="11" fillId="0" borderId="5" xfId="0" applyNumberFormat="1" applyFont="1" applyBorder="1" applyAlignment="1">
      <alignment horizontal="center" vertical="center" wrapText="1"/>
    </xf>
    <xf numFmtId="49" fontId="11" fillId="0" borderId="6" xfId="0" applyNumberFormat="1" applyFont="1" applyBorder="1" applyAlignment="1">
      <alignment horizontal="center" vertical="center" wrapText="1"/>
    </xf>
    <xf numFmtId="178" fontId="12" fillId="0" borderId="2" xfId="0" applyNumberFormat="1" applyFont="1" applyBorder="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H43"/>
  <sheetViews>
    <sheetView zoomScaleNormal="100" workbookViewId="0">
      <selection activeCell="AI2" sqref="AI2"/>
    </sheetView>
  </sheetViews>
  <sheetFormatPr defaultRowHeight="15.75" x14ac:dyDescent="0.25"/>
  <cols>
    <col min="1" max="1" width="9.25" style="22" customWidth="1"/>
    <col min="2" max="2" width="11.25" style="22" bestFit="1" customWidth="1"/>
    <col min="3" max="3" width="7.375" style="22" bestFit="1" customWidth="1"/>
    <col min="4" max="4" width="7.25" style="22" customWidth="1"/>
    <col min="5" max="5" width="59.25" style="1" customWidth="1"/>
    <col min="6" max="6" width="6.75" style="1" hidden="1" customWidth="1"/>
    <col min="7" max="7" width="6.75" style="1" customWidth="1"/>
    <col min="8" max="8" width="4.25" style="1" hidden="1" customWidth="1"/>
    <col min="9" max="9" width="5.5" style="1" customWidth="1"/>
    <col min="10" max="10" width="4.25" style="1" hidden="1" customWidth="1"/>
    <col min="11" max="11" width="5.5" style="1" hidden="1" customWidth="1"/>
    <col min="12" max="12" width="4.25" style="1" hidden="1" customWidth="1"/>
    <col min="13" max="14" width="8" style="1" hidden="1" customWidth="1"/>
    <col min="15" max="15" width="4.25" style="1" hidden="1" customWidth="1"/>
    <col min="16" max="16" width="8.5" style="1" hidden="1" customWidth="1"/>
    <col min="17" max="18" width="5.5" style="1" hidden="1" customWidth="1"/>
    <col min="19" max="19" width="5.5" style="1" customWidth="1"/>
    <col min="20" max="21" width="5.5" style="1" bestFit="1" customWidth="1"/>
    <col min="22" max="22" width="5.5" style="1" hidden="1" customWidth="1"/>
    <col min="23" max="23" width="5.5" style="1" customWidth="1"/>
    <col min="24" max="24" width="6.75" style="1" hidden="1" customWidth="1"/>
    <col min="25" max="25" width="5.5" style="1" hidden="1" customWidth="1"/>
    <col min="26" max="26" width="3.375" style="1" hidden="1" customWidth="1"/>
    <col min="27" max="27" width="4.25" style="1" hidden="1" customWidth="1"/>
    <col min="28" max="28" width="5.5" style="1" hidden="1" customWidth="1"/>
    <col min="29" max="29" width="5.5" style="1" customWidth="1"/>
    <col min="30" max="30" width="5.5" style="1" hidden="1" customWidth="1"/>
    <col min="31" max="31" width="5.5" style="1" customWidth="1"/>
    <col min="32" max="32" width="12.75" style="1" customWidth="1"/>
    <col min="33" max="16384" width="9" style="1"/>
  </cols>
  <sheetData>
    <row r="1" spans="1:34" ht="28.5" x14ac:dyDescent="0.45">
      <c r="A1" s="33" t="s">
        <v>64</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row>
    <row r="2" spans="1:34" ht="198.75" customHeight="1" x14ac:dyDescent="0.25">
      <c r="A2" s="34" t="s">
        <v>0</v>
      </c>
      <c r="B2" s="36" t="s">
        <v>1</v>
      </c>
      <c r="C2" s="36" t="s">
        <v>2</v>
      </c>
      <c r="D2" s="36" t="s">
        <v>3</v>
      </c>
      <c r="E2" s="2" t="s">
        <v>4</v>
      </c>
      <c r="F2" s="3" t="s">
        <v>5</v>
      </c>
      <c r="G2" s="3" t="s">
        <v>6</v>
      </c>
      <c r="H2" s="3" t="s">
        <v>7</v>
      </c>
      <c r="I2" s="3" t="s">
        <v>8</v>
      </c>
      <c r="J2" s="3" t="s">
        <v>9</v>
      </c>
      <c r="K2" s="4" t="s">
        <v>10</v>
      </c>
      <c r="L2" s="3" t="s">
        <v>11</v>
      </c>
      <c r="M2" s="3" t="s">
        <v>12</v>
      </c>
      <c r="N2" s="3" t="s">
        <v>13</v>
      </c>
      <c r="O2" s="3" t="s">
        <v>14</v>
      </c>
      <c r="P2" s="3" t="s">
        <v>15</v>
      </c>
      <c r="Q2" s="3" t="s">
        <v>16</v>
      </c>
      <c r="R2" s="3" t="s">
        <v>17</v>
      </c>
      <c r="S2" s="3" t="s">
        <v>18</v>
      </c>
      <c r="T2" s="3" t="s">
        <v>19</v>
      </c>
      <c r="U2" s="3" t="s">
        <v>20</v>
      </c>
      <c r="V2" s="3" t="s">
        <v>21</v>
      </c>
      <c r="W2" s="3" t="s">
        <v>22</v>
      </c>
      <c r="X2" s="3" t="s">
        <v>23</v>
      </c>
      <c r="Y2" s="3" t="s">
        <v>24</v>
      </c>
      <c r="Z2" s="3" t="s">
        <v>25</v>
      </c>
      <c r="AA2" s="3" t="s">
        <v>26</v>
      </c>
      <c r="AB2" s="3" t="s">
        <v>27</v>
      </c>
      <c r="AC2" s="3" t="s">
        <v>28</v>
      </c>
      <c r="AD2" s="3" t="s">
        <v>29</v>
      </c>
      <c r="AE2" s="3" t="s">
        <v>63</v>
      </c>
      <c r="AF2" s="5" t="s">
        <v>30</v>
      </c>
      <c r="AG2" s="6"/>
      <c r="AH2" s="6"/>
    </row>
    <row r="3" spans="1:34" ht="18" x14ac:dyDescent="0.35">
      <c r="A3" s="35"/>
      <c r="B3" s="37"/>
      <c r="C3" s="37"/>
      <c r="D3" s="37"/>
      <c r="E3" s="7" t="s">
        <v>31</v>
      </c>
      <c r="F3" s="8">
        <v>20.7</v>
      </c>
      <c r="G3" s="8">
        <v>15.5</v>
      </c>
      <c r="H3" s="8">
        <v>33</v>
      </c>
      <c r="I3" s="8">
        <v>8</v>
      </c>
      <c r="J3" s="8">
        <v>37</v>
      </c>
      <c r="K3" s="8">
        <v>5.5</v>
      </c>
      <c r="L3" s="8">
        <v>38</v>
      </c>
      <c r="M3" s="9">
        <v>50.93</v>
      </c>
      <c r="N3" s="9">
        <v>68.25</v>
      </c>
      <c r="O3" s="8">
        <v>85</v>
      </c>
      <c r="P3" s="10">
        <v>110.25</v>
      </c>
      <c r="Q3" s="8">
        <v>150</v>
      </c>
      <c r="R3" s="8">
        <v>240</v>
      </c>
      <c r="S3" s="8">
        <v>260</v>
      </c>
      <c r="T3" s="8">
        <v>280</v>
      </c>
      <c r="U3" s="8">
        <v>400</v>
      </c>
      <c r="V3" s="8">
        <v>800</v>
      </c>
      <c r="W3" s="8">
        <v>393</v>
      </c>
      <c r="X3" s="8">
        <v>1180</v>
      </c>
      <c r="Y3" s="8">
        <v>230</v>
      </c>
      <c r="Z3" s="8">
        <v>4</v>
      </c>
      <c r="AA3" s="8">
        <v>10</v>
      </c>
      <c r="AB3" s="8">
        <v>974</v>
      </c>
      <c r="AC3" s="8">
        <v>0</v>
      </c>
      <c r="AD3" s="8">
        <v>165</v>
      </c>
      <c r="AE3" s="8">
        <v>460</v>
      </c>
      <c r="AF3" s="11" t="s">
        <v>32</v>
      </c>
    </row>
    <row r="4" spans="1:34" ht="18.75" x14ac:dyDescent="0.3">
      <c r="A4" s="13" t="s">
        <v>39</v>
      </c>
      <c r="B4" s="12" t="s">
        <v>40</v>
      </c>
      <c r="C4" s="13" t="s">
        <v>41</v>
      </c>
      <c r="D4" s="13">
        <v>1832</v>
      </c>
      <c r="E4" s="12" t="s">
        <v>42</v>
      </c>
      <c r="F4" s="14"/>
      <c r="G4" s="14"/>
      <c r="H4" s="14"/>
      <c r="I4" s="14"/>
      <c r="J4" s="14"/>
      <c r="K4" s="14"/>
      <c r="L4" s="14"/>
      <c r="M4" s="14"/>
      <c r="N4" s="14"/>
      <c r="O4" s="14"/>
      <c r="P4" s="14"/>
      <c r="Q4" s="15"/>
      <c r="R4" s="15"/>
      <c r="S4" s="15"/>
      <c r="T4" s="15"/>
      <c r="U4" s="15"/>
      <c r="V4" s="15"/>
      <c r="W4" s="15">
        <v>4</v>
      </c>
      <c r="X4" s="15"/>
      <c r="Y4" s="16"/>
      <c r="Z4" s="16"/>
      <c r="AA4" s="16"/>
      <c r="AB4" s="16"/>
      <c r="AC4" s="16"/>
      <c r="AD4" s="16"/>
      <c r="AE4" s="16"/>
      <c r="AF4" s="17">
        <f>$F$3*F4+$G$3*G4+$H$3*H4+$I$3*I4++$J$3*J4+$K$3*K4+$L$3*L4+$M$3*M4+$N$3*N4+$O$3*O4+$P$3*P4+$Q$3*Q4+$R$3*R4+$S$3*S4+$T$3*T4+$U$3*U4+$V$3*V4+$W$3*W4+$X$3*X4+$Y$3*Y4+$Z$3*Z4+$AA$3*AA4+$AB$3*AB4+$AD$3*AD4+$AE$3*AE4</f>
        <v>1572</v>
      </c>
    </row>
    <row r="5" spans="1:34" ht="18.75" x14ac:dyDescent="0.3">
      <c r="A5" s="19">
        <v>8100</v>
      </c>
      <c r="B5" s="18" t="s">
        <v>33</v>
      </c>
      <c r="C5" s="19" t="s">
        <v>43</v>
      </c>
      <c r="D5" s="19">
        <v>8611</v>
      </c>
      <c r="E5" s="18" t="s">
        <v>60</v>
      </c>
      <c r="F5" s="20"/>
      <c r="G5" s="14"/>
      <c r="H5" s="14"/>
      <c r="I5" s="14"/>
      <c r="J5" s="14"/>
      <c r="K5" s="14"/>
      <c r="L5" s="14"/>
      <c r="M5" s="14"/>
      <c r="N5" s="14"/>
      <c r="O5" s="14"/>
      <c r="P5" s="14"/>
      <c r="Q5" s="15"/>
      <c r="R5" s="15"/>
      <c r="S5" s="15">
        <v>2</v>
      </c>
      <c r="T5" s="15"/>
      <c r="U5" s="15"/>
      <c r="V5" s="15"/>
      <c r="W5" s="15"/>
      <c r="X5" s="15"/>
      <c r="Y5" s="16"/>
      <c r="Z5" s="16"/>
      <c r="AA5" s="16"/>
      <c r="AB5" s="16"/>
      <c r="AC5" s="16"/>
      <c r="AD5" s="16"/>
      <c r="AE5" s="16"/>
      <c r="AF5" s="17">
        <f t="shared" ref="AF5:AF15" si="0">$F$3*F5+$G$3*G5+$H$3*H5+$I$3*I5++$J$3*J5+$K$3*K5+$L$3*L5+$M$3*M5+$N$3*N5+$O$3*O5+$P$3*P5+$Q$3*Q5+$R$3*R5+$S$3*S5+$T$3*T5+$U$3*U5+$V$3*V5+$W$3*W5+$X$3*X5+$Y$3*Y5+$Z$3*Z5+$AA$3*AA5+$AB$3*AB5+$AD$3*AD5+$AE$3*AE5</f>
        <v>520</v>
      </c>
    </row>
    <row r="6" spans="1:34" ht="18.75" x14ac:dyDescent="0.3">
      <c r="A6" s="13" t="s">
        <v>44</v>
      </c>
      <c r="B6" s="12" t="s">
        <v>45</v>
      </c>
      <c r="C6" s="13" t="s">
        <v>46</v>
      </c>
      <c r="D6" s="13">
        <v>1817</v>
      </c>
      <c r="E6" s="12" t="s">
        <v>47</v>
      </c>
      <c r="F6" s="21"/>
      <c r="G6" s="14">
        <v>7</v>
      </c>
      <c r="H6" s="14"/>
      <c r="I6" s="14"/>
      <c r="J6" s="14"/>
      <c r="K6" s="14"/>
      <c r="L6" s="14"/>
      <c r="M6" s="14"/>
      <c r="N6" s="14"/>
      <c r="O6" s="14"/>
      <c r="P6" s="14"/>
      <c r="Q6" s="15"/>
      <c r="R6" s="15"/>
      <c r="S6" s="15"/>
      <c r="T6" s="15">
        <v>7</v>
      </c>
      <c r="U6" s="15"/>
      <c r="V6" s="15"/>
      <c r="W6" s="15"/>
      <c r="X6" s="15"/>
      <c r="Y6" s="16"/>
      <c r="Z6" s="16"/>
      <c r="AA6" s="16"/>
      <c r="AB6" s="16"/>
      <c r="AC6" s="16"/>
      <c r="AD6" s="16"/>
      <c r="AE6" s="16"/>
      <c r="AF6" s="17">
        <f t="shared" si="0"/>
        <v>2068.5</v>
      </c>
    </row>
    <row r="7" spans="1:34" ht="18.75" x14ac:dyDescent="0.3">
      <c r="A7" s="13" t="s">
        <v>48</v>
      </c>
      <c r="B7" s="12" t="s">
        <v>49</v>
      </c>
      <c r="C7" s="13" t="s">
        <v>50</v>
      </c>
      <c r="D7" s="13">
        <v>1196</v>
      </c>
      <c r="E7" s="12" t="s">
        <v>51</v>
      </c>
      <c r="F7" s="21"/>
      <c r="G7" s="14"/>
      <c r="H7" s="14"/>
      <c r="I7" s="14"/>
      <c r="J7" s="14"/>
      <c r="K7" s="14"/>
      <c r="L7" s="14"/>
      <c r="M7" s="14"/>
      <c r="N7" s="14"/>
      <c r="O7" s="14"/>
      <c r="P7" s="14"/>
      <c r="Q7" s="15"/>
      <c r="R7" s="15"/>
      <c r="S7" s="15"/>
      <c r="T7" s="15"/>
      <c r="U7" s="15"/>
      <c r="V7" s="15"/>
      <c r="W7" s="15"/>
      <c r="X7" s="15"/>
      <c r="Y7" s="16"/>
      <c r="Z7" s="16"/>
      <c r="AA7" s="16"/>
      <c r="AB7" s="16"/>
      <c r="AC7" s="16">
        <v>25</v>
      </c>
      <c r="AD7" s="16"/>
      <c r="AE7" s="16"/>
      <c r="AF7" s="17">
        <f t="shared" si="0"/>
        <v>0</v>
      </c>
    </row>
    <row r="8" spans="1:34" ht="18.75" x14ac:dyDescent="0.3">
      <c r="A8" s="13" t="s">
        <v>44</v>
      </c>
      <c r="B8" s="12" t="s">
        <v>45</v>
      </c>
      <c r="C8" s="13" t="s">
        <v>46</v>
      </c>
      <c r="D8" s="13">
        <v>1817</v>
      </c>
      <c r="E8" s="12" t="s">
        <v>61</v>
      </c>
      <c r="F8" s="21"/>
      <c r="G8" s="14"/>
      <c r="H8" s="14"/>
      <c r="I8" s="14">
        <v>100</v>
      </c>
      <c r="J8" s="14">
        <v>10</v>
      </c>
      <c r="K8" s="14"/>
      <c r="L8" s="14"/>
      <c r="M8" s="14"/>
      <c r="N8" s="14"/>
      <c r="O8" s="14"/>
      <c r="P8" s="14"/>
      <c r="Q8" s="15"/>
      <c r="R8" s="15"/>
      <c r="S8" s="15">
        <v>5</v>
      </c>
      <c r="T8" s="15"/>
      <c r="U8" s="15"/>
      <c r="V8" s="15"/>
      <c r="W8" s="15"/>
      <c r="X8" s="15"/>
      <c r="Y8" s="16"/>
      <c r="Z8" s="16"/>
      <c r="AA8" s="16"/>
      <c r="AB8" s="16"/>
      <c r="AC8" s="16"/>
      <c r="AD8" s="16"/>
      <c r="AE8" s="16"/>
      <c r="AF8" s="17">
        <f t="shared" si="0"/>
        <v>2470</v>
      </c>
    </row>
    <row r="9" spans="1:34" ht="18.75" x14ac:dyDescent="0.3">
      <c r="A9" s="13">
        <v>8100</v>
      </c>
      <c r="B9" s="12" t="s">
        <v>33</v>
      </c>
      <c r="C9" s="13" t="s">
        <v>52</v>
      </c>
      <c r="D9" s="13">
        <v>8607</v>
      </c>
      <c r="E9" s="12" t="s">
        <v>53</v>
      </c>
      <c r="F9" s="21"/>
      <c r="G9" s="14"/>
      <c r="H9" s="14"/>
      <c r="I9" s="14"/>
      <c r="J9" s="14"/>
      <c r="K9" s="14"/>
      <c r="L9" s="14"/>
      <c r="M9" s="14"/>
      <c r="N9" s="14"/>
      <c r="O9" s="14"/>
      <c r="P9" s="14"/>
      <c r="Q9" s="15"/>
      <c r="R9" s="15"/>
      <c r="S9" s="15">
        <v>7</v>
      </c>
      <c r="T9" s="15"/>
      <c r="U9" s="15">
        <v>1</v>
      </c>
      <c r="V9" s="15"/>
      <c r="W9" s="15"/>
      <c r="X9" s="15"/>
      <c r="Y9" s="16"/>
      <c r="Z9" s="16"/>
      <c r="AA9" s="16"/>
      <c r="AB9" s="16"/>
      <c r="AC9" s="16"/>
      <c r="AD9" s="16"/>
      <c r="AE9" s="16"/>
      <c r="AF9" s="17">
        <f t="shared" si="0"/>
        <v>2220</v>
      </c>
    </row>
    <row r="10" spans="1:34" ht="18.75" x14ac:dyDescent="0.3">
      <c r="A10" s="13" t="s">
        <v>44</v>
      </c>
      <c r="B10" s="12" t="s">
        <v>45</v>
      </c>
      <c r="C10" s="13" t="s">
        <v>46</v>
      </c>
      <c r="D10" s="13">
        <v>1817</v>
      </c>
      <c r="E10" s="12" t="s">
        <v>62</v>
      </c>
      <c r="F10" s="21"/>
      <c r="G10" s="14">
        <v>4</v>
      </c>
      <c r="H10" s="14"/>
      <c r="I10" s="14"/>
      <c r="J10" s="14"/>
      <c r="K10" s="14"/>
      <c r="L10" s="14"/>
      <c r="M10" s="14"/>
      <c r="N10" s="14"/>
      <c r="O10" s="14"/>
      <c r="P10" s="14"/>
      <c r="Q10" s="15"/>
      <c r="R10" s="15"/>
      <c r="S10" s="15">
        <v>6</v>
      </c>
      <c r="T10" s="15">
        <v>4</v>
      </c>
      <c r="U10" s="15"/>
      <c r="V10" s="15"/>
      <c r="W10" s="15"/>
      <c r="X10" s="15"/>
      <c r="Y10" s="16"/>
      <c r="Z10" s="16"/>
      <c r="AA10" s="16"/>
      <c r="AB10" s="16"/>
      <c r="AC10" s="16"/>
      <c r="AD10" s="16"/>
      <c r="AE10" s="16"/>
      <c r="AF10" s="17">
        <f t="shared" si="0"/>
        <v>2742</v>
      </c>
    </row>
    <row r="11" spans="1:34" ht="18.75" x14ac:dyDescent="0.3">
      <c r="A11" s="13" t="s">
        <v>34</v>
      </c>
      <c r="B11" s="12" t="s">
        <v>35</v>
      </c>
      <c r="C11" s="13" t="s">
        <v>36</v>
      </c>
      <c r="D11" s="13">
        <v>2345</v>
      </c>
      <c r="E11" s="12" t="s">
        <v>54</v>
      </c>
      <c r="F11" s="21"/>
      <c r="G11" s="14"/>
      <c r="H11" s="14"/>
      <c r="I11" s="14"/>
      <c r="J11" s="14"/>
      <c r="K11" s="14"/>
      <c r="L11" s="14"/>
      <c r="M11" s="14"/>
      <c r="N11" s="14"/>
      <c r="O11" s="14"/>
      <c r="P11" s="14"/>
      <c r="Q11" s="15"/>
      <c r="R11" s="15"/>
      <c r="S11" s="15"/>
      <c r="T11" s="15"/>
      <c r="U11" s="15">
        <v>1</v>
      </c>
      <c r="V11" s="15"/>
      <c r="W11" s="15"/>
      <c r="X11" s="15"/>
      <c r="Y11" s="16"/>
      <c r="Z11" s="16"/>
      <c r="AA11" s="16"/>
      <c r="AB11" s="16"/>
      <c r="AC11" s="16"/>
      <c r="AD11" s="16"/>
      <c r="AE11" s="16"/>
      <c r="AF11" s="17">
        <f t="shared" si="0"/>
        <v>400</v>
      </c>
    </row>
    <row r="12" spans="1:34" ht="18.75" x14ac:dyDescent="0.3">
      <c r="A12" s="13" t="s">
        <v>48</v>
      </c>
      <c r="B12" s="12" t="s">
        <v>49</v>
      </c>
      <c r="C12" s="13" t="s">
        <v>55</v>
      </c>
      <c r="D12" s="13">
        <v>1198</v>
      </c>
      <c r="E12" s="12" t="s">
        <v>56</v>
      </c>
      <c r="F12" s="21"/>
      <c r="G12" s="14">
        <v>25</v>
      </c>
      <c r="H12" s="14"/>
      <c r="I12" s="14"/>
      <c r="J12" s="14"/>
      <c r="K12" s="14"/>
      <c r="L12" s="14"/>
      <c r="M12" s="14"/>
      <c r="N12" s="14"/>
      <c r="O12" s="14"/>
      <c r="P12" s="14"/>
      <c r="Q12" s="15"/>
      <c r="R12" s="15"/>
      <c r="S12" s="15"/>
      <c r="T12" s="15"/>
      <c r="U12" s="15"/>
      <c r="V12" s="15"/>
      <c r="W12" s="15"/>
      <c r="X12" s="15"/>
      <c r="Y12" s="16"/>
      <c r="Z12" s="16"/>
      <c r="AA12" s="16"/>
      <c r="AB12" s="16"/>
      <c r="AC12" s="16"/>
      <c r="AD12" s="16"/>
      <c r="AE12" s="16"/>
      <c r="AF12" s="17">
        <f t="shared" si="0"/>
        <v>387.5</v>
      </c>
    </row>
    <row r="13" spans="1:34" ht="18.75" x14ac:dyDescent="0.3">
      <c r="A13" s="13" t="s">
        <v>48</v>
      </c>
      <c r="B13" s="12" t="s">
        <v>49</v>
      </c>
      <c r="C13" s="13" t="s">
        <v>55</v>
      </c>
      <c r="D13" s="13">
        <v>1198</v>
      </c>
      <c r="E13" s="12" t="s">
        <v>57</v>
      </c>
      <c r="F13" s="21"/>
      <c r="G13" s="14">
        <v>15</v>
      </c>
      <c r="H13" s="14"/>
      <c r="I13" s="14"/>
      <c r="J13" s="14"/>
      <c r="K13" s="14"/>
      <c r="L13" s="14"/>
      <c r="M13" s="14"/>
      <c r="N13" s="14"/>
      <c r="O13" s="14"/>
      <c r="P13" s="14"/>
      <c r="Q13" s="15"/>
      <c r="R13" s="15"/>
      <c r="S13" s="15"/>
      <c r="T13" s="15"/>
      <c r="U13" s="15"/>
      <c r="V13" s="15"/>
      <c r="W13" s="15"/>
      <c r="X13" s="15"/>
      <c r="Y13" s="16"/>
      <c r="Z13" s="16"/>
      <c r="AA13" s="16"/>
      <c r="AB13" s="16"/>
      <c r="AC13" s="16"/>
      <c r="AD13" s="16"/>
      <c r="AE13" s="16"/>
      <c r="AF13" s="17">
        <f t="shared" si="0"/>
        <v>232.5</v>
      </c>
    </row>
    <row r="14" spans="1:34" ht="18.75" x14ac:dyDescent="0.3">
      <c r="A14" s="13">
        <v>8100</v>
      </c>
      <c r="B14" s="12" t="s">
        <v>33</v>
      </c>
      <c r="C14" s="13" t="s">
        <v>58</v>
      </c>
      <c r="D14" s="13">
        <v>8608</v>
      </c>
      <c r="E14" s="12" t="s">
        <v>59</v>
      </c>
      <c r="F14" s="21"/>
      <c r="G14" s="14"/>
      <c r="H14" s="14"/>
      <c r="I14" s="14"/>
      <c r="J14" s="14"/>
      <c r="K14" s="14"/>
      <c r="L14" s="14"/>
      <c r="M14" s="14"/>
      <c r="N14" s="14"/>
      <c r="O14" s="14"/>
      <c r="P14" s="14"/>
      <c r="Q14" s="15"/>
      <c r="R14" s="15"/>
      <c r="S14" s="15"/>
      <c r="T14" s="15"/>
      <c r="U14" s="15">
        <v>6</v>
      </c>
      <c r="V14" s="15"/>
      <c r="W14" s="15"/>
      <c r="X14" s="15"/>
      <c r="Y14" s="16"/>
      <c r="Z14" s="16"/>
      <c r="AA14" s="16"/>
      <c r="AB14" s="16"/>
      <c r="AC14" s="16"/>
      <c r="AD14" s="16"/>
      <c r="AE14" s="16"/>
      <c r="AF14" s="17">
        <f t="shared" si="0"/>
        <v>2400</v>
      </c>
    </row>
    <row r="15" spans="1:34" ht="18.75" x14ac:dyDescent="0.3">
      <c r="A15" s="19" t="s">
        <v>48</v>
      </c>
      <c r="B15" s="18" t="s">
        <v>49</v>
      </c>
      <c r="C15" s="19" t="s">
        <v>55</v>
      </c>
      <c r="D15" s="19">
        <v>8608</v>
      </c>
      <c r="E15" s="18" t="s">
        <v>59</v>
      </c>
      <c r="F15" s="14"/>
      <c r="G15" s="14"/>
      <c r="H15" s="14"/>
      <c r="I15" s="14"/>
      <c r="J15" s="14"/>
      <c r="K15" s="14"/>
      <c r="L15" s="14"/>
      <c r="M15" s="14"/>
      <c r="N15" s="14"/>
      <c r="O15" s="14"/>
      <c r="P15" s="14"/>
      <c r="Q15" s="15"/>
      <c r="R15" s="15"/>
      <c r="S15" s="15"/>
      <c r="T15" s="15"/>
      <c r="U15" s="15"/>
      <c r="V15" s="15"/>
      <c r="W15" s="15"/>
      <c r="X15" s="15"/>
      <c r="Y15" s="16"/>
      <c r="Z15" s="16"/>
      <c r="AA15" s="16"/>
      <c r="AB15" s="16"/>
      <c r="AC15" s="16"/>
      <c r="AD15" s="16"/>
      <c r="AE15" s="16">
        <v>30</v>
      </c>
      <c r="AF15" s="17">
        <f t="shared" si="0"/>
        <v>13800</v>
      </c>
    </row>
    <row r="16" spans="1:34" ht="18.75" hidden="1" x14ac:dyDescent="0.3">
      <c r="A16" s="13"/>
      <c r="B16" s="12"/>
      <c r="C16" s="13"/>
      <c r="D16" s="13"/>
      <c r="E16" s="12"/>
      <c r="F16" s="14"/>
      <c r="G16" s="14"/>
      <c r="H16" s="14"/>
      <c r="I16" s="14"/>
      <c r="J16" s="14"/>
      <c r="K16" s="14"/>
      <c r="L16" s="14"/>
      <c r="M16" s="14"/>
      <c r="N16" s="14"/>
      <c r="O16" s="14"/>
      <c r="P16" s="14"/>
      <c r="Q16" s="15"/>
      <c r="R16" s="15"/>
      <c r="S16" s="15"/>
      <c r="T16" s="15"/>
      <c r="U16" s="15"/>
      <c r="V16" s="15"/>
      <c r="W16" s="15"/>
      <c r="X16" s="15"/>
      <c r="Y16" s="16"/>
      <c r="Z16" s="16"/>
      <c r="AA16" s="16"/>
      <c r="AB16" s="16"/>
      <c r="AC16" s="16"/>
      <c r="AD16" s="16"/>
      <c r="AE16" s="16"/>
      <c r="AF16" s="17">
        <f t="shared" ref="AF16:AF24" si="1">$F$3*F16+$G$3*G16+$H$3*H16+$I$3*I16++$J$3*J16+$K$3*K16+$L$3*L16+$M$3*M16+$N$3*N16+$O$3*O16+$P$3*P16+$Q$3*Q16+$R$3*R16+$S$3*S16+$T$3*T16+$U$3*U16+$V$3*V16+$W$3*W16+$X$3*X16+$Y$3*Y16+$Z$3*Z16+$AA$3*AA16+$AB$3*AB16+$AD$3*AD16</f>
        <v>0</v>
      </c>
    </row>
    <row r="17" spans="1:32" ht="18.75" hidden="1" x14ac:dyDescent="0.3">
      <c r="A17" s="19"/>
      <c r="B17" s="18"/>
      <c r="C17" s="19"/>
      <c r="D17" s="19"/>
      <c r="E17" s="18"/>
      <c r="F17" s="14"/>
      <c r="G17" s="14"/>
      <c r="H17" s="14"/>
      <c r="I17" s="14"/>
      <c r="J17" s="14"/>
      <c r="K17" s="14"/>
      <c r="L17" s="14"/>
      <c r="M17" s="14"/>
      <c r="N17" s="14"/>
      <c r="O17" s="14"/>
      <c r="P17" s="14"/>
      <c r="Q17" s="15"/>
      <c r="R17" s="15"/>
      <c r="S17" s="15"/>
      <c r="T17" s="15"/>
      <c r="U17" s="15"/>
      <c r="V17" s="15"/>
      <c r="W17" s="15"/>
      <c r="X17" s="15"/>
      <c r="Y17" s="16"/>
      <c r="Z17" s="16"/>
      <c r="AA17" s="16"/>
      <c r="AB17" s="16"/>
      <c r="AC17" s="16"/>
      <c r="AD17" s="16"/>
      <c r="AE17" s="16"/>
      <c r="AF17" s="17">
        <f t="shared" si="1"/>
        <v>0</v>
      </c>
    </row>
    <row r="18" spans="1:32" ht="18.75" hidden="1" x14ac:dyDescent="0.3">
      <c r="A18" s="13"/>
      <c r="B18" s="12"/>
      <c r="C18" s="13"/>
      <c r="D18" s="13"/>
      <c r="E18" s="12"/>
      <c r="F18" s="14"/>
      <c r="G18" s="14"/>
      <c r="H18" s="14"/>
      <c r="I18" s="14"/>
      <c r="J18" s="14"/>
      <c r="K18" s="14"/>
      <c r="L18" s="14"/>
      <c r="M18" s="14"/>
      <c r="N18" s="14"/>
      <c r="O18" s="14"/>
      <c r="P18" s="14"/>
      <c r="Q18" s="15"/>
      <c r="R18" s="15"/>
      <c r="S18" s="15"/>
      <c r="T18" s="15"/>
      <c r="U18" s="15"/>
      <c r="V18" s="15"/>
      <c r="W18" s="15"/>
      <c r="X18" s="15"/>
      <c r="Y18" s="16"/>
      <c r="Z18" s="16"/>
      <c r="AA18" s="16"/>
      <c r="AB18" s="16"/>
      <c r="AC18" s="16"/>
      <c r="AD18" s="16"/>
      <c r="AE18" s="16"/>
      <c r="AF18" s="17">
        <f t="shared" si="1"/>
        <v>0</v>
      </c>
    </row>
    <row r="19" spans="1:32" ht="18.75" hidden="1" x14ac:dyDescent="0.3">
      <c r="A19" s="13"/>
      <c r="B19" s="12"/>
      <c r="C19" s="13"/>
      <c r="D19" s="13"/>
      <c r="E19" s="12"/>
      <c r="F19" s="21"/>
      <c r="G19" s="14"/>
      <c r="H19" s="14"/>
      <c r="I19" s="14"/>
      <c r="J19" s="14"/>
      <c r="K19" s="14"/>
      <c r="L19" s="14"/>
      <c r="M19" s="14"/>
      <c r="N19" s="14"/>
      <c r="O19" s="14"/>
      <c r="P19" s="14"/>
      <c r="Q19" s="15"/>
      <c r="R19" s="15"/>
      <c r="S19" s="15"/>
      <c r="T19" s="15"/>
      <c r="U19" s="15"/>
      <c r="V19" s="15"/>
      <c r="W19" s="15"/>
      <c r="X19" s="15"/>
      <c r="Y19" s="16"/>
      <c r="Z19" s="16"/>
      <c r="AA19" s="16"/>
      <c r="AB19" s="16"/>
      <c r="AC19" s="16"/>
      <c r="AD19" s="16"/>
      <c r="AE19" s="16"/>
      <c r="AF19" s="17">
        <f t="shared" si="1"/>
        <v>0</v>
      </c>
    </row>
    <row r="20" spans="1:32" ht="18.75" hidden="1" x14ac:dyDescent="0.3">
      <c r="A20" s="13"/>
      <c r="B20" s="12"/>
      <c r="C20" s="13"/>
      <c r="D20" s="13"/>
      <c r="E20" s="12"/>
      <c r="F20" s="21"/>
      <c r="G20" s="14"/>
      <c r="H20" s="14"/>
      <c r="I20" s="14"/>
      <c r="J20" s="14"/>
      <c r="K20" s="14"/>
      <c r="L20" s="14"/>
      <c r="M20" s="14"/>
      <c r="N20" s="14"/>
      <c r="O20" s="14"/>
      <c r="P20" s="14"/>
      <c r="Q20" s="15"/>
      <c r="R20" s="15"/>
      <c r="S20" s="15"/>
      <c r="T20" s="15"/>
      <c r="U20" s="15"/>
      <c r="V20" s="15"/>
      <c r="W20" s="15"/>
      <c r="X20" s="15"/>
      <c r="Y20" s="16"/>
      <c r="Z20" s="16"/>
      <c r="AA20" s="16"/>
      <c r="AB20" s="16"/>
      <c r="AC20" s="16"/>
      <c r="AD20" s="16"/>
      <c r="AE20" s="16"/>
      <c r="AF20" s="17">
        <f t="shared" si="1"/>
        <v>0</v>
      </c>
    </row>
    <row r="21" spans="1:32" ht="18.75" hidden="1" x14ac:dyDescent="0.3">
      <c r="A21" s="19"/>
      <c r="B21" s="18"/>
      <c r="C21" s="19"/>
      <c r="D21" s="19"/>
      <c r="E21" s="18"/>
      <c r="F21" s="14"/>
      <c r="G21" s="14"/>
      <c r="H21" s="14"/>
      <c r="I21" s="14"/>
      <c r="J21" s="14"/>
      <c r="K21" s="14"/>
      <c r="L21" s="14"/>
      <c r="M21" s="14"/>
      <c r="N21" s="14"/>
      <c r="O21" s="14"/>
      <c r="P21" s="14"/>
      <c r="Q21" s="15"/>
      <c r="R21" s="15"/>
      <c r="S21" s="15"/>
      <c r="T21" s="15"/>
      <c r="U21" s="15"/>
      <c r="V21" s="15"/>
      <c r="W21" s="15"/>
      <c r="X21" s="15"/>
      <c r="Y21" s="16"/>
      <c r="Z21" s="16"/>
      <c r="AA21" s="16"/>
      <c r="AB21" s="16"/>
      <c r="AC21" s="16"/>
      <c r="AD21" s="16"/>
      <c r="AE21" s="16"/>
      <c r="AF21" s="17">
        <f t="shared" si="1"/>
        <v>0</v>
      </c>
    </row>
    <row r="22" spans="1:32" ht="18.75" hidden="1" x14ac:dyDescent="0.3">
      <c r="A22" s="13"/>
      <c r="B22" s="12"/>
      <c r="C22" s="13"/>
      <c r="D22" s="13"/>
      <c r="E22" s="12"/>
      <c r="F22" s="14"/>
      <c r="G22" s="14"/>
      <c r="H22" s="14"/>
      <c r="I22" s="14"/>
      <c r="J22" s="14"/>
      <c r="K22" s="14"/>
      <c r="L22" s="14"/>
      <c r="M22" s="14"/>
      <c r="N22" s="14"/>
      <c r="O22" s="14"/>
      <c r="P22" s="14"/>
      <c r="Q22" s="15"/>
      <c r="R22" s="15"/>
      <c r="S22" s="15"/>
      <c r="T22" s="15"/>
      <c r="U22" s="15"/>
      <c r="V22" s="15"/>
      <c r="W22" s="15"/>
      <c r="X22" s="15"/>
      <c r="Y22" s="16"/>
      <c r="Z22" s="16"/>
      <c r="AA22" s="16"/>
      <c r="AB22" s="16"/>
      <c r="AC22" s="16"/>
      <c r="AD22" s="16"/>
      <c r="AE22" s="16"/>
      <c r="AF22" s="17">
        <f t="shared" si="1"/>
        <v>0</v>
      </c>
    </row>
    <row r="23" spans="1:32" ht="18.75" hidden="1" x14ac:dyDescent="0.3">
      <c r="A23" s="19"/>
      <c r="B23" s="18"/>
      <c r="C23" s="19"/>
      <c r="D23" s="19"/>
      <c r="E23" s="18"/>
      <c r="F23" s="14"/>
      <c r="G23" s="14"/>
      <c r="H23" s="14"/>
      <c r="I23" s="14"/>
      <c r="J23" s="14"/>
      <c r="K23" s="14"/>
      <c r="L23" s="14"/>
      <c r="M23" s="14"/>
      <c r="N23" s="14"/>
      <c r="O23" s="14"/>
      <c r="P23" s="14"/>
      <c r="Q23" s="15"/>
      <c r="R23" s="15"/>
      <c r="S23" s="15"/>
      <c r="T23" s="15"/>
      <c r="U23" s="15"/>
      <c r="V23" s="15"/>
      <c r="W23" s="15"/>
      <c r="X23" s="15"/>
      <c r="Y23" s="16"/>
      <c r="Z23" s="16"/>
      <c r="AA23" s="16"/>
      <c r="AB23" s="16"/>
      <c r="AC23" s="16"/>
      <c r="AD23" s="16"/>
      <c r="AE23" s="16"/>
      <c r="AF23" s="17">
        <f t="shared" si="1"/>
        <v>0</v>
      </c>
    </row>
    <row r="24" spans="1:32" ht="18.75" hidden="1" x14ac:dyDescent="0.3">
      <c r="A24" s="13"/>
      <c r="B24" s="12"/>
      <c r="C24" s="13"/>
      <c r="D24" s="13"/>
      <c r="E24" s="12"/>
      <c r="F24" s="14"/>
      <c r="G24" s="14"/>
      <c r="H24" s="14"/>
      <c r="I24" s="14"/>
      <c r="J24" s="14"/>
      <c r="K24" s="14"/>
      <c r="L24" s="14"/>
      <c r="M24" s="14"/>
      <c r="N24" s="14"/>
      <c r="O24" s="14"/>
      <c r="P24" s="14"/>
      <c r="Q24" s="15"/>
      <c r="R24" s="15"/>
      <c r="S24" s="15"/>
      <c r="T24" s="15"/>
      <c r="U24" s="15"/>
      <c r="V24" s="15"/>
      <c r="W24" s="15"/>
      <c r="X24" s="15"/>
      <c r="Y24" s="16"/>
      <c r="Z24" s="16"/>
      <c r="AA24" s="16"/>
      <c r="AB24" s="16"/>
      <c r="AC24" s="16"/>
      <c r="AD24" s="16"/>
      <c r="AE24" s="16"/>
      <c r="AF24" s="17">
        <f t="shared" si="1"/>
        <v>0</v>
      </c>
    </row>
    <row r="25" spans="1:32" ht="21.75" customHeight="1" x14ac:dyDescent="0.25">
      <c r="A25" s="38" t="s">
        <v>30</v>
      </c>
      <c r="B25" s="39"/>
      <c r="C25" s="39"/>
      <c r="D25" s="39"/>
      <c r="E25" s="40"/>
      <c r="F25" s="41">
        <f>SUM(AF4:AF24)</f>
        <v>28812.5</v>
      </c>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c r="AF25" s="41"/>
    </row>
    <row r="26" spans="1:32" ht="15.75" customHeight="1" x14ac:dyDescent="0.25">
      <c r="A26" s="30" t="s">
        <v>37</v>
      </c>
      <c r="B26" s="30"/>
      <c r="C26" s="30"/>
      <c r="D26" s="30"/>
      <c r="E26" s="31" t="s">
        <v>38</v>
      </c>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row>
    <row r="27" spans="1:32" ht="15.75" customHeight="1" x14ac:dyDescent="0.25">
      <c r="A27" s="30"/>
      <c r="B27" s="30"/>
      <c r="C27" s="30"/>
      <c r="D27" s="30"/>
      <c r="E27" s="31"/>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row>
    <row r="31" spans="1:32" x14ac:dyDescent="0.25">
      <c r="C31" s="23"/>
    </row>
    <row r="32" spans="1:32" x14ac:dyDescent="0.25">
      <c r="C32" s="23"/>
    </row>
    <row r="33" spans="3:34" x14ac:dyDescent="0.25">
      <c r="C33" s="23"/>
    </row>
    <row r="34" spans="3:34" x14ac:dyDescent="0.25">
      <c r="C34" s="23"/>
    </row>
    <row r="35" spans="3:34" s="22" customFormat="1" x14ac:dyDescent="0.25">
      <c r="C35" s="23"/>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row>
    <row r="36" spans="3:34" s="22" customFormat="1" x14ac:dyDescent="0.25">
      <c r="C36" s="23"/>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row>
    <row r="37" spans="3:34" s="22" customFormat="1" x14ac:dyDescent="0.25">
      <c r="C37" s="23"/>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row>
    <row r="38" spans="3:34" s="22" customFormat="1" x14ac:dyDescent="0.25">
      <c r="C38" s="23"/>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row>
    <row r="39" spans="3:34" s="22" customFormat="1" x14ac:dyDescent="0.25">
      <c r="C39" s="23"/>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row>
    <row r="40" spans="3:34" s="22" customFormat="1" x14ac:dyDescent="0.25">
      <c r="C40" s="23"/>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3:34" s="22" customFormat="1" x14ac:dyDescent="0.25">
      <c r="C41" s="23"/>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3:34" s="22" customFormat="1" x14ac:dyDescent="0.25">
      <c r="C42" s="23"/>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3:34" s="22" customFormat="1" x14ac:dyDescent="0.25">
      <c r="C43" s="23"/>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sheetData>
  <mergeCells count="10">
    <mergeCell ref="A26:D27"/>
    <mergeCell ref="E26:E27"/>
    <mergeCell ref="F26:AF27"/>
    <mergeCell ref="A1:AF1"/>
    <mergeCell ref="A2:A3"/>
    <mergeCell ref="B2:B3"/>
    <mergeCell ref="C2:C3"/>
    <mergeCell ref="D2:D3"/>
    <mergeCell ref="A25:E25"/>
    <mergeCell ref="F25:AF25"/>
  </mergeCells>
  <phoneticPr fontId="3" type="noConversion"/>
  <printOptions horizontalCentered="1"/>
  <pageMargins left="0.23622047244094488" right="0.23622047244094488" top="0.74803149606299213" bottom="0" header="0.31496062992125984" footer="0.31496062992125984"/>
  <pageSetup paperSize="9" scale="93" fitToHeight="0"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H43"/>
  <sheetViews>
    <sheetView zoomScaleNormal="100" workbookViewId="0">
      <selection activeCell="E31" sqref="E31"/>
    </sheetView>
  </sheetViews>
  <sheetFormatPr defaultRowHeight="15.75" x14ac:dyDescent="0.25"/>
  <cols>
    <col min="1" max="1" width="9.25" style="22" customWidth="1"/>
    <col min="2" max="2" width="11.25" style="22" bestFit="1" customWidth="1"/>
    <col min="3" max="3" width="7.375" style="22" bestFit="1" customWidth="1"/>
    <col min="4" max="4" width="7.25" style="22" customWidth="1"/>
    <col min="5" max="5" width="59.25" style="1" customWidth="1"/>
    <col min="6" max="7" width="6.75" style="1" customWidth="1"/>
    <col min="8" max="8" width="4.25" style="1" hidden="1" customWidth="1"/>
    <col min="9" max="9" width="5.5" style="1" hidden="1" customWidth="1"/>
    <col min="10" max="10" width="4.25" style="1" hidden="1" customWidth="1"/>
    <col min="11" max="11" width="5.5" style="1" hidden="1" customWidth="1"/>
    <col min="12" max="12" width="4.25" style="1" customWidth="1"/>
    <col min="13" max="14" width="8" style="1" hidden="1" customWidth="1"/>
    <col min="15" max="15" width="4.25" style="1" hidden="1" customWidth="1"/>
    <col min="16" max="16" width="8.5" style="1" hidden="1" customWidth="1"/>
    <col min="17" max="17" width="5.5" style="1" customWidth="1"/>
    <col min="18" max="19" width="5.5" style="1" hidden="1" customWidth="1"/>
    <col min="20" max="21" width="5.5" style="1" bestFit="1" customWidth="1"/>
    <col min="22" max="23" width="5.5" style="1" hidden="1" customWidth="1"/>
    <col min="24" max="24" width="6.75" style="1" hidden="1" customWidth="1"/>
    <col min="25" max="25" width="5.5" style="1" hidden="1" customWidth="1"/>
    <col min="26" max="26" width="3.375" style="1" hidden="1" customWidth="1"/>
    <col min="27" max="27" width="4.25" style="1" hidden="1" customWidth="1"/>
    <col min="28" max="30" width="5.5" style="1" hidden="1" customWidth="1"/>
    <col min="31" max="31" width="5.5" style="1" customWidth="1"/>
    <col min="32" max="32" width="12.75" style="1" customWidth="1"/>
    <col min="33" max="16384" width="9" style="1"/>
  </cols>
  <sheetData>
    <row r="1" spans="1:34" ht="28.5" x14ac:dyDescent="0.45">
      <c r="A1" s="33" t="s">
        <v>65</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row>
    <row r="2" spans="1:34" ht="198.75" customHeight="1" x14ac:dyDescent="0.25">
      <c r="A2" s="34" t="s">
        <v>0</v>
      </c>
      <c r="B2" s="36" t="s">
        <v>1</v>
      </c>
      <c r="C2" s="36" t="s">
        <v>2</v>
      </c>
      <c r="D2" s="36" t="s">
        <v>3</v>
      </c>
      <c r="E2" s="2" t="s">
        <v>4</v>
      </c>
      <c r="F2" s="3" t="s">
        <v>5</v>
      </c>
      <c r="G2" s="3" t="s">
        <v>6</v>
      </c>
      <c r="H2" s="3" t="s">
        <v>7</v>
      </c>
      <c r="I2" s="3" t="s">
        <v>8</v>
      </c>
      <c r="J2" s="3" t="s">
        <v>9</v>
      </c>
      <c r="K2" s="4" t="s">
        <v>10</v>
      </c>
      <c r="L2" s="3" t="s">
        <v>11</v>
      </c>
      <c r="M2" s="3" t="s">
        <v>12</v>
      </c>
      <c r="N2" s="3" t="s">
        <v>13</v>
      </c>
      <c r="O2" s="3" t="s">
        <v>14</v>
      </c>
      <c r="P2" s="3" t="s">
        <v>15</v>
      </c>
      <c r="Q2" s="3" t="s">
        <v>16</v>
      </c>
      <c r="R2" s="3" t="s">
        <v>17</v>
      </c>
      <c r="S2" s="3" t="s">
        <v>18</v>
      </c>
      <c r="T2" s="3" t="s">
        <v>19</v>
      </c>
      <c r="U2" s="3" t="s">
        <v>20</v>
      </c>
      <c r="V2" s="3" t="s">
        <v>21</v>
      </c>
      <c r="W2" s="3" t="s">
        <v>22</v>
      </c>
      <c r="X2" s="3" t="s">
        <v>23</v>
      </c>
      <c r="Y2" s="3" t="s">
        <v>24</v>
      </c>
      <c r="Z2" s="3" t="s">
        <v>25</v>
      </c>
      <c r="AA2" s="3" t="s">
        <v>26</v>
      </c>
      <c r="AB2" s="3" t="s">
        <v>27</v>
      </c>
      <c r="AC2" s="3" t="s">
        <v>28</v>
      </c>
      <c r="AD2" s="3" t="s">
        <v>29</v>
      </c>
      <c r="AE2" s="3" t="s">
        <v>63</v>
      </c>
      <c r="AF2" s="5" t="s">
        <v>30</v>
      </c>
      <c r="AG2" s="6"/>
      <c r="AH2" s="6"/>
    </row>
    <row r="3" spans="1:34" ht="18" x14ac:dyDescent="0.35">
      <c r="A3" s="35"/>
      <c r="B3" s="37"/>
      <c r="C3" s="37"/>
      <c r="D3" s="37"/>
      <c r="E3" s="7" t="s">
        <v>31</v>
      </c>
      <c r="F3" s="8">
        <v>20.7</v>
      </c>
      <c r="G3" s="8">
        <v>15.5</v>
      </c>
      <c r="H3" s="8">
        <v>33</v>
      </c>
      <c r="I3" s="8">
        <v>8</v>
      </c>
      <c r="J3" s="8">
        <v>37</v>
      </c>
      <c r="K3" s="8">
        <v>5.5</v>
      </c>
      <c r="L3" s="8">
        <v>38</v>
      </c>
      <c r="M3" s="9">
        <v>50.93</v>
      </c>
      <c r="N3" s="9">
        <v>68.25</v>
      </c>
      <c r="O3" s="8">
        <v>85</v>
      </c>
      <c r="P3" s="10">
        <v>110.25</v>
      </c>
      <c r="Q3" s="8">
        <v>150</v>
      </c>
      <c r="R3" s="8">
        <v>240</v>
      </c>
      <c r="S3" s="8">
        <v>260</v>
      </c>
      <c r="T3" s="8">
        <v>280</v>
      </c>
      <c r="U3" s="8">
        <v>400</v>
      </c>
      <c r="V3" s="8">
        <v>800</v>
      </c>
      <c r="W3" s="8">
        <v>393</v>
      </c>
      <c r="X3" s="8">
        <v>1180</v>
      </c>
      <c r="Y3" s="8">
        <v>230</v>
      </c>
      <c r="Z3" s="8">
        <v>4</v>
      </c>
      <c r="AA3" s="8">
        <v>10</v>
      </c>
      <c r="AB3" s="8">
        <v>974</v>
      </c>
      <c r="AC3" s="8">
        <v>0</v>
      </c>
      <c r="AD3" s="8">
        <v>165</v>
      </c>
      <c r="AE3" s="8">
        <v>460</v>
      </c>
      <c r="AF3" s="11" t="s">
        <v>32</v>
      </c>
    </row>
    <row r="4" spans="1:34" ht="18.75" x14ac:dyDescent="0.3">
      <c r="A4" s="13" t="s">
        <v>89</v>
      </c>
      <c r="B4" s="12" t="s">
        <v>66</v>
      </c>
      <c r="C4" s="13" t="s">
        <v>67</v>
      </c>
      <c r="D4" s="13">
        <v>8870</v>
      </c>
      <c r="E4" s="12" t="s">
        <v>68</v>
      </c>
      <c r="F4" s="14"/>
      <c r="G4" s="14"/>
      <c r="H4" s="14"/>
      <c r="I4" s="14"/>
      <c r="J4" s="14"/>
      <c r="K4" s="14"/>
      <c r="L4" s="14"/>
      <c r="M4" s="14"/>
      <c r="N4" s="14"/>
      <c r="O4" s="14"/>
      <c r="P4" s="14"/>
      <c r="Q4" s="15"/>
      <c r="R4" s="15"/>
      <c r="S4" s="15"/>
      <c r="T4" s="15"/>
      <c r="U4" s="15">
        <v>2</v>
      </c>
      <c r="V4" s="15"/>
      <c r="W4" s="15"/>
      <c r="X4" s="15"/>
      <c r="Y4" s="16"/>
      <c r="Z4" s="16"/>
      <c r="AA4" s="16"/>
      <c r="AB4" s="16"/>
      <c r="AC4" s="16"/>
      <c r="AD4" s="16"/>
      <c r="AE4" s="16"/>
      <c r="AF4" s="17">
        <f>$F$3*F4+$G$3*G4+$H$3*H4+$I$3*I4++$J$3*J4+$K$3*K4+$L$3*L4+$M$3*M4+$N$3*N4+$O$3*O4+$P$3*P4+$Q$3*Q4+$R$3*R4+$S$3*S4+$T$3*T4+$U$3*U4+$V$3*V4+$W$3*W4+$X$3*X4+$Y$3*Y4+$Z$3*Z4+$AA$3*AA4+$AB$3*AB4+$AD$3*AD4+$AE$3*AE4</f>
        <v>800</v>
      </c>
    </row>
    <row r="5" spans="1:34" ht="18.75" x14ac:dyDescent="0.3">
      <c r="A5" s="19" t="s">
        <v>69</v>
      </c>
      <c r="B5" s="18" t="s">
        <v>70</v>
      </c>
      <c r="C5" s="19" t="s">
        <v>71</v>
      </c>
      <c r="D5" s="19">
        <v>7220</v>
      </c>
      <c r="E5" s="18" t="s">
        <v>72</v>
      </c>
      <c r="F5" s="20"/>
      <c r="G5" s="14"/>
      <c r="H5" s="14"/>
      <c r="I5" s="14"/>
      <c r="J5" s="14"/>
      <c r="K5" s="14"/>
      <c r="L5" s="14"/>
      <c r="M5" s="14"/>
      <c r="N5" s="14"/>
      <c r="O5" s="14"/>
      <c r="P5" s="14"/>
      <c r="Q5" s="15">
        <v>12</v>
      </c>
      <c r="R5" s="15"/>
      <c r="S5" s="15"/>
      <c r="T5" s="15"/>
      <c r="U5" s="15"/>
      <c r="V5" s="15"/>
      <c r="W5" s="15"/>
      <c r="X5" s="15"/>
      <c r="Y5" s="16"/>
      <c r="Z5" s="16"/>
      <c r="AA5" s="16"/>
      <c r="AB5" s="16"/>
      <c r="AC5" s="16"/>
      <c r="AD5" s="16"/>
      <c r="AE5" s="16"/>
      <c r="AF5" s="17">
        <f t="shared" ref="AF5:AF15" si="0">$F$3*F5+$G$3*G5+$H$3*H5+$I$3*I5++$J$3*J5+$K$3*K5+$L$3*L5+$M$3*M5+$N$3*N5+$O$3*O5+$P$3*P5+$Q$3*Q5+$R$3*R5+$S$3*S5+$T$3*T5+$U$3*U5+$V$3*V5+$W$3*W5+$X$3*X5+$Y$3*Y5+$Z$3*Z5+$AA$3*AA5+$AB$3*AB5+$AD$3*AD5+$AE$3*AE5</f>
        <v>1800</v>
      </c>
    </row>
    <row r="6" spans="1:34" ht="18.75" x14ac:dyDescent="0.3">
      <c r="A6" s="13" t="s">
        <v>73</v>
      </c>
      <c r="B6" s="12" t="s">
        <v>74</v>
      </c>
      <c r="C6" s="13" t="s">
        <v>75</v>
      </c>
      <c r="D6" s="13">
        <v>8806</v>
      </c>
      <c r="E6" s="12" t="s">
        <v>76</v>
      </c>
      <c r="F6" s="21"/>
      <c r="G6" s="14"/>
      <c r="H6" s="14"/>
      <c r="I6" s="14"/>
      <c r="J6" s="14"/>
      <c r="K6" s="14"/>
      <c r="L6" s="14"/>
      <c r="M6" s="14"/>
      <c r="N6" s="14"/>
      <c r="O6" s="14"/>
      <c r="P6" s="14"/>
      <c r="Q6" s="15">
        <v>16</v>
      </c>
      <c r="R6" s="15"/>
      <c r="S6" s="15"/>
      <c r="T6" s="15"/>
      <c r="U6" s="15"/>
      <c r="V6" s="15"/>
      <c r="W6" s="15"/>
      <c r="X6" s="15"/>
      <c r="Y6" s="16"/>
      <c r="Z6" s="16"/>
      <c r="AA6" s="16"/>
      <c r="AB6" s="16"/>
      <c r="AC6" s="16"/>
      <c r="AD6" s="16"/>
      <c r="AE6" s="16"/>
      <c r="AF6" s="17">
        <f t="shared" si="0"/>
        <v>2400</v>
      </c>
    </row>
    <row r="7" spans="1:34" ht="18.75" x14ac:dyDescent="0.3">
      <c r="A7" s="13" t="s">
        <v>77</v>
      </c>
      <c r="B7" s="12" t="s">
        <v>78</v>
      </c>
      <c r="C7" s="13" t="s">
        <v>79</v>
      </c>
      <c r="D7" s="13">
        <v>1810</v>
      </c>
      <c r="E7" s="12" t="s">
        <v>80</v>
      </c>
      <c r="F7" s="21">
        <v>3</v>
      </c>
      <c r="G7" s="14">
        <v>3</v>
      </c>
      <c r="H7" s="14"/>
      <c r="I7" s="14"/>
      <c r="J7" s="14"/>
      <c r="K7" s="14"/>
      <c r="L7" s="14">
        <v>3</v>
      </c>
      <c r="M7" s="14"/>
      <c r="N7" s="14"/>
      <c r="O7" s="14"/>
      <c r="P7" s="14"/>
      <c r="Q7" s="15"/>
      <c r="R7" s="15"/>
      <c r="S7" s="15"/>
      <c r="T7" s="15"/>
      <c r="U7" s="15"/>
      <c r="V7" s="15"/>
      <c r="W7" s="15"/>
      <c r="X7" s="15"/>
      <c r="Y7" s="16"/>
      <c r="Z7" s="16"/>
      <c r="AA7" s="16"/>
      <c r="AB7" s="16"/>
      <c r="AC7" s="16"/>
      <c r="AD7" s="16"/>
      <c r="AE7" s="16"/>
      <c r="AF7" s="17">
        <f t="shared" si="0"/>
        <v>222.6</v>
      </c>
    </row>
    <row r="8" spans="1:34" ht="18.75" x14ac:dyDescent="0.3">
      <c r="A8" s="13" t="s">
        <v>81</v>
      </c>
      <c r="B8" s="12" t="s">
        <v>82</v>
      </c>
      <c r="C8" s="13" t="s">
        <v>83</v>
      </c>
      <c r="D8" s="13">
        <v>8130</v>
      </c>
      <c r="E8" s="12" t="s">
        <v>84</v>
      </c>
      <c r="F8" s="21"/>
      <c r="G8" s="14"/>
      <c r="H8" s="14"/>
      <c r="I8" s="14"/>
      <c r="J8" s="14"/>
      <c r="K8" s="14"/>
      <c r="L8" s="14"/>
      <c r="M8" s="14"/>
      <c r="N8" s="14"/>
      <c r="O8" s="14"/>
      <c r="P8" s="14"/>
      <c r="Q8" s="15"/>
      <c r="R8" s="15"/>
      <c r="S8" s="15"/>
      <c r="T8" s="15"/>
      <c r="U8" s="15"/>
      <c r="V8" s="15"/>
      <c r="W8" s="15"/>
      <c r="X8" s="15"/>
      <c r="Y8" s="16"/>
      <c r="Z8" s="16"/>
      <c r="AA8" s="16"/>
      <c r="AB8" s="16"/>
      <c r="AC8" s="16"/>
      <c r="AD8" s="16"/>
      <c r="AE8" s="16">
        <v>1</v>
      </c>
      <c r="AF8" s="17">
        <f t="shared" si="0"/>
        <v>460</v>
      </c>
    </row>
    <row r="9" spans="1:34" ht="18.75" x14ac:dyDescent="0.3">
      <c r="A9" s="13" t="s">
        <v>85</v>
      </c>
      <c r="B9" s="12" t="s">
        <v>86</v>
      </c>
      <c r="C9" s="13" t="s">
        <v>87</v>
      </c>
      <c r="D9" s="13">
        <v>8516</v>
      </c>
      <c r="E9" s="12" t="s">
        <v>88</v>
      </c>
      <c r="F9" s="21"/>
      <c r="G9" s="14">
        <v>10</v>
      </c>
      <c r="H9" s="14"/>
      <c r="I9" s="14"/>
      <c r="J9" s="14"/>
      <c r="K9" s="14"/>
      <c r="L9" s="14"/>
      <c r="M9" s="14"/>
      <c r="N9" s="14"/>
      <c r="O9" s="14"/>
      <c r="P9" s="14"/>
      <c r="Q9" s="15"/>
      <c r="R9" s="15"/>
      <c r="S9" s="15"/>
      <c r="T9" s="15">
        <v>4</v>
      </c>
      <c r="U9" s="15"/>
      <c r="V9" s="15"/>
      <c r="W9" s="15"/>
      <c r="X9" s="15"/>
      <c r="Y9" s="16"/>
      <c r="Z9" s="16"/>
      <c r="AA9" s="16"/>
      <c r="AB9" s="16"/>
      <c r="AC9" s="16"/>
      <c r="AD9" s="16"/>
      <c r="AE9" s="16"/>
      <c r="AF9" s="17">
        <f t="shared" si="0"/>
        <v>1275</v>
      </c>
    </row>
    <row r="10" spans="1:34" ht="18.75" hidden="1" x14ac:dyDescent="0.3">
      <c r="A10" s="13"/>
      <c r="B10" s="12"/>
      <c r="C10" s="13"/>
      <c r="D10" s="13"/>
      <c r="E10" s="12"/>
      <c r="F10" s="21"/>
      <c r="G10" s="14"/>
      <c r="H10" s="14"/>
      <c r="I10" s="14"/>
      <c r="J10" s="14"/>
      <c r="K10" s="14"/>
      <c r="L10" s="14"/>
      <c r="M10" s="14"/>
      <c r="N10" s="14"/>
      <c r="O10" s="14"/>
      <c r="P10" s="14"/>
      <c r="Q10" s="15"/>
      <c r="R10" s="15"/>
      <c r="S10" s="15"/>
      <c r="T10" s="15"/>
      <c r="U10" s="15"/>
      <c r="V10" s="15"/>
      <c r="W10" s="15"/>
      <c r="X10" s="15"/>
      <c r="Y10" s="16"/>
      <c r="Z10" s="16"/>
      <c r="AA10" s="16"/>
      <c r="AB10" s="16"/>
      <c r="AC10" s="16"/>
      <c r="AD10" s="16"/>
      <c r="AE10" s="16"/>
      <c r="AF10" s="17">
        <f t="shared" si="0"/>
        <v>0</v>
      </c>
    </row>
    <row r="11" spans="1:34" ht="18.75" hidden="1" x14ac:dyDescent="0.3">
      <c r="A11" s="13"/>
      <c r="B11" s="12"/>
      <c r="C11" s="13"/>
      <c r="D11" s="13"/>
      <c r="E11" s="12"/>
      <c r="F11" s="21"/>
      <c r="G11" s="14"/>
      <c r="H11" s="14"/>
      <c r="I11" s="14"/>
      <c r="J11" s="14"/>
      <c r="K11" s="14"/>
      <c r="L11" s="14"/>
      <c r="M11" s="14"/>
      <c r="N11" s="14"/>
      <c r="O11" s="14"/>
      <c r="P11" s="14"/>
      <c r="Q11" s="15"/>
      <c r="R11" s="15"/>
      <c r="S11" s="15"/>
      <c r="T11" s="15"/>
      <c r="U11" s="15"/>
      <c r="V11" s="15"/>
      <c r="W11" s="15"/>
      <c r="X11" s="15"/>
      <c r="Y11" s="16"/>
      <c r="Z11" s="16"/>
      <c r="AA11" s="16"/>
      <c r="AB11" s="16"/>
      <c r="AC11" s="16"/>
      <c r="AD11" s="16"/>
      <c r="AE11" s="16"/>
      <c r="AF11" s="17">
        <f t="shared" si="0"/>
        <v>0</v>
      </c>
    </row>
    <row r="12" spans="1:34" ht="18.75" hidden="1" x14ac:dyDescent="0.3">
      <c r="A12" s="13"/>
      <c r="B12" s="12"/>
      <c r="C12" s="13"/>
      <c r="D12" s="13"/>
      <c r="E12" s="12"/>
      <c r="F12" s="21"/>
      <c r="G12" s="14"/>
      <c r="H12" s="14"/>
      <c r="I12" s="14"/>
      <c r="J12" s="14"/>
      <c r="K12" s="14"/>
      <c r="L12" s="14"/>
      <c r="M12" s="14"/>
      <c r="N12" s="14"/>
      <c r="O12" s="14"/>
      <c r="P12" s="14"/>
      <c r="Q12" s="15"/>
      <c r="R12" s="15"/>
      <c r="S12" s="15"/>
      <c r="T12" s="15"/>
      <c r="U12" s="15"/>
      <c r="V12" s="15"/>
      <c r="W12" s="15"/>
      <c r="X12" s="15"/>
      <c r="Y12" s="16"/>
      <c r="Z12" s="16"/>
      <c r="AA12" s="16"/>
      <c r="AB12" s="16"/>
      <c r="AC12" s="16"/>
      <c r="AD12" s="16"/>
      <c r="AE12" s="16"/>
      <c r="AF12" s="17">
        <f t="shared" si="0"/>
        <v>0</v>
      </c>
    </row>
    <row r="13" spans="1:34" ht="18.75" hidden="1" x14ac:dyDescent="0.3">
      <c r="A13" s="13"/>
      <c r="B13" s="12"/>
      <c r="C13" s="13"/>
      <c r="D13" s="13"/>
      <c r="E13" s="12"/>
      <c r="F13" s="21"/>
      <c r="G13" s="14"/>
      <c r="H13" s="14"/>
      <c r="I13" s="14"/>
      <c r="J13" s="14"/>
      <c r="K13" s="14"/>
      <c r="L13" s="14"/>
      <c r="M13" s="14"/>
      <c r="N13" s="14"/>
      <c r="O13" s="14"/>
      <c r="P13" s="14"/>
      <c r="Q13" s="15"/>
      <c r="R13" s="15"/>
      <c r="S13" s="15"/>
      <c r="T13" s="15"/>
      <c r="U13" s="15"/>
      <c r="V13" s="15"/>
      <c r="W13" s="15"/>
      <c r="X13" s="15"/>
      <c r="Y13" s="16"/>
      <c r="Z13" s="16"/>
      <c r="AA13" s="16"/>
      <c r="AB13" s="16"/>
      <c r="AC13" s="16"/>
      <c r="AD13" s="16"/>
      <c r="AE13" s="16"/>
      <c r="AF13" s="17">
        <f t="shared" si="0"/>
        <v>0</v>
      </c>
    </row>
    <row r="14" spans="1:34" ht="18.75" hidden="1" x14ac:dyDescent="0.3">
      <c r="A14" s="13"/>
      <c r="B14" s="12"/>
      <c r="C14" s="13"/>
      <c r="D14" s="13"/>
      <c r="E14" s="12"/>
      <c r="F14" s="21"/>
      <c r="G14" s="14"/>
      <c r="H14" s="14"/>
      <c r="I14" s="14"/>
      <c r="J14" s="14"/>
      <c r="K14" s="14"/>
      <c r="L14" s="14"/>
      <c r="M14" s="14"/>
      <c r="N14" s="14"/>
      <c r="O14" s="14"/>
      <c r="P14" s="14"/>
      <c r="Q14" s="15"/>
      <c r="R14" s="15"/>
      <c r="S14" s="15"/>
      <c r="T14" s="15"/>
      <c r="U14" s="15"/>
      <c r="V14" s="15"/>
      <c r="W14" s="15"/>
      <c r="X14" s="15"/>
      <c r="Y14" s="16"/>
      <c r="Z14" s="16"/>
      <c r="AA14" s="16"/>
      <c r="AB14" s="16"/>
      <c r="AC14" s="16"/>
      <c r="AD14" s="16"/>
      <c r="AE14" s="16"/>
      <c r="AF14" s="17">
        <f t="shared" si="0"/>
        <v>0</v>
      </c>
    </row>
    <row r="15" spans="1:34" ht="18.75" hidden="1" x14ac:dyDescent="0.3">
      <c r="A15" s="19"/>
      <c r="B15" s="18"/>
      <c r="C15" s="19"/>
      <c r="D15" s="19"/>
      <c r="E15" s="18"/>
      <c r="F15" s="14"/>
      <c r="G15" s="14"/>
      <c r="H15" s="14"/>
      <c r="I15" s="14"/>
      <c r="J15" s="14"/>
      <c r="K15" s="14"/>
      <c r="L15" s="14"/>
      <c r="M15" s="14"/>
      <c r="N15" s="14"/>
      <c r="O15" s="14"/>
      <c r="P15" s="14"/>
      <c r="Q15" s="15"/>
      <c r="R15" s="15"/>
      <c r="S15" s="15"/>
      <c r="T15" s="15"/>
      <c r="U15" s="15"/>
      <c r="V15" s="15"/>
      <c r="W15" s="15"/>
      <c r="X15" s="15"/>
      <c r="Y15" s="16"/>
      <c r="Z15" s="16"/>
      <c r="AA15" s="16"/>
      <c r="AB15" s="16"/>
      <c r="AC15" s="16"/>
      <c r="AD15" s="16"/>
      <c r="AE15" s="16"/>
      <c r="AF15" s="17">
        <f t="shared" si="0"/>
        <v>0</v>
      </c>
    </row>
    <row r="16" spans="1:34" ht="18.75" hidden="1" x14ac:dyDescent="0.3">
      <c r="A16" s="13"/>
      <c r="B16" s="12"/>
      <c r="C16" s="13"/>
      <c r="D16" s="13"/>
      <c r="E16" s="12"/>
      <c r="F16" s="14"/>
      <c r="G16" s="14"/>
      <c r="H16" s="14"/>
      <c r="I16" s="14"/>
      <c r="J16" s="14"/>
      <c r="K16" s="14"/>
      <c r="L16" s="14"/>
      <c r="M16" s="14"/>
      <c r="N16" s="14"/>
      <c r="O16" s="14"/>
      <c r="P16" s="14"/>
      <c r="Q16" s="15"/>
      <c r="R16" s="15"/>
      <c r="S16" s="15"/>
      <c r="T16" s="15"/>
      <c r="U16" s="15"/>
      <c r="V16" s="15"/>
      <c r="W16" s="15"/>
      <c r="X16" s="15"/>
      <c r="Y16" s="16"/>
      <c r="Z16" s="16"/>
      <c r="AA16" s="16"/>
      <c r="AB16" s="16"/>
      <c r="AC16" s="16"/>
      <c r="AD16" s="16"/>
      <c r="AE16" s="16"/>
      <c r="AF16" s="17">
        <f t="shared" ref="AF16:AF24" si="1">$F$3*F16+$G$3*G16+$H$3*H16+$I$3*I16++$J$3*J16+$K$3*K16+$L$3*L16+$M$3*M16+$N$3*N16+$O$3*O16+$P$3*P16+$Q$3*Q16+$R$3*R16+$S$3*S16+$T$3*T16+$U$3*U16+$V$3*V16+$W$3*W16+$X$3*X16+$Y$3*Y16+$Z$3*Z16+$AA$3*AA16+$AB$3*AB16+$AD$3*AD16</f>
        <v>0</v>
      </c>
    </row>
    <row r="17" spans="1:32" ht="18.75" hidden="1" x14ac:dyDescent="0.3">
      <c r="A17" s="19"/>
      <c r="B17" s="18"/>
      <c r="C17" s="19"/>
      <c r="D17" s="19"/>
      <c r="E17" s="18"/>
      <c r="F17" s="14"/>
      <c r="G17" s="14"/>
      <c r="H17" s="14"/>
      <c r="I17" s="14"/>
      <c r="J17" s="14"/>
      <c r="K17" s="14"/>
      <c r="L17" s="14"/>
      <c r="M17" s="14"/>
      <c r="N17" s="14"/>
      <c r="O17" s="14"/>
      <c r="P17" s="14"/>
      <c r="Q17" s="15"/>
      <c r="R17" s="15"/>
      <c r="S17" s="15"/>
      <c r="T17" s="15"/>
      <c r="U17" s="15"/>
      <c r="V17" s="15"/>
      <c r="W17" s="15"/>
      <c r="X17" s="15"/>
      <c r="Y17" s="16"/>
      <c r="Z17" s="16"/>
      <c r="AA17" s="16"/>
      <c r="AB17" s="16"/>
      <c r="AC17" s="16"/>
      <c r="AD17" s="16"/>
      <c r="AE17" s="16"/>
      <c r="AF17" s="17">
        <f t="shared" si="1"/>
        <v>0</v>
      </c>
    </row>
    <row r="18" spans="1:32" ht="18.75" hidden="1" x14ac:dyDescent="0.3">
      <c r="A18" s="13"/>
      <c r="B18" s="12"/>
      <c r="C18" s="13"/>
      <c r="D18" s="13"/>
      <c r="E18" s="12"/>
      <c r="F18" s="14"/>
      <c r="G18" s="14"/>
      <c r="H18" s="14"/>
      <c r="I18" s="14"/>
      <c r="J18" s="14"/>
      <c r="K18" s="14"/>
      <c r="L18" s="14"/>
      <c r="M18" s="14"/>
      <c r="N18" s="14"/>
      <c r="O18" s="14"/>
      <c r="P18" s="14"/>
      <c r="Q18" s="15"/>
      <c r="R18" s="15"/>
      <c r="S18" s="15"/>
      <c r="T18" s="15"/>
      <c r="U18" s="15"/>
      <c r="V18" s="15"/>
      <c r="W18" s="15"/>
      <c r="X18" s="15"/>
      <c r="Y18" s="16"/>
      <c r="Z18" s="16"/>
      <c r="AA18" s="16"/>
      <c r="AB18" s="16"/>
      <c r="AC18" s="16"/>
      <c r="AD18" s="16"/>
      <c r="AE18" s="16"/>
      <c r="AF18" s="17">
        <f t="shared" si="1"/>
        <v>0</v>
      </c>
    </row>
    <row r="19" spans="1:32" ht="18.75" hidden="1" x14ac:dyDescent="0.3">
      <c r="A19" s="13"/>
      <c r="B19" s="12"/>
      <c r="C19" s="13"/>
      <c r="D19" s="13"/>
      <c r="E19" s="12"/>
      <c r="F19" s="21"/>
      <c r="G19" s="14"/>
      <c r="H19" s="14"/>
      <c r="I19" s="14"/>
      <c r="J19" s="14"/>
      <c r="K19" s="14"/>
      <c r="L19" s="14"/>
      <c r="M19" s="14"/>
      <c r="N19" s="14"/>
      <c r="O19" s="14"/>
      <c r="P19" s="14"/>
      <c r="Q19" s="15"/>
      <c r="R19" s="15"/>
      <c r="S19" s="15"/>
      <c r="T19" s="15"/>
      <c r="U19" s="15"/>
      <c r="V19" s="15"/>
      <c r="W19" s="15"/>
      <c r="X19" s="15"/>
      <c r="Y19" s="16"/>
      <c r="Z19" s="16"/>
      <c r="AA19" s="16"/>
      <c r="AB19" s="16"/>
      <c r="AC19" s="16"/>
      <c r="AD19" s="16"/>
      <c r="AE19" s="16"/>
      <c r="AF19" s="17">
        <f t="shared" si="1"/>
        <v>0</v>
      </c>
    </row>
    <row r="20" spans="1:32" ht="18.75" hidden="1" x14ac:dyDescent="0.3">
      <c r="A20" s="13"/>
      <c r="B20" s="12"/>
      <c r="C20" s="13"/>
      <c r="D20" s="13"/>
      <c r="E20" s="12"/>
      <c r="F20" s="21"/>
      <c r="G20" s="14"/>
      <c r="H20" s="14"/>
      <c r="I20" s="14"/>
      <c r="J20" s="14"/>
      <c r="K20" s="14"/>
      <c r="L20" s="14"/>
      <c r="M20" s="14"/>
      <c r="N20" s="14"/>
      <c r="O20" s="14"/>
      <c r="P20" s="14"/>
      <c r="Q20" s="15"/>
      <c r="R20" s="15"/>
      <c r="S20" s="15"/>
      <c r="T20" s="15"/>
      <c r="U20" s="15"/>
      <c r="V20" s="15"/>
      <c r="W20" s="15"/>
      <c r="X20" s="15"/>
      <c r="Y20" s="16"/>
      <c r="Z20" s="16"/>
      <c r="AA20" s="16"/>
      <c r="AB20" s="16"/>
      <c r="AC20" s="16"/>
      <c r="AD20" s="16"/>
      <c r="AE20" s="16"/>
      <c r="AF20" s="17">
        <f t="shared" si="1"/>
        <v>0</v>
      </c>
    </row>
    <row r="21" spans="1:32" ht="18.75" hidden="1" x14ac:dyDescent="0.3">
      <c r="A21" s="19"/>
      <c r="B21" s="18"/>
      <c r="C21" s="19"/>
      <c r="D21" s="19"/>
      <c r="E21" s="18"/>
      <c r="F21" s="14"/>
      <c r="G21" s="14"/>
      <c r="H21" s="14"/>
      <c r="I21" s="14"/>
      <c r="J21" s="14"/>
      <c r="K21" s="14"/>
      <c r="L21" s="14"/>
      <c r="M21" s="14"/>
      <c r="N21" s="14"/>
      <c r="O21" s="14"/>
      <c r="P21" s="14"/>
      <c r="Q21" s="15"/>
      <c r="R21" s="15"/>
      <c r="S21" s="15"/>
      <c r="T21" s="15"/>
      <c r="U21" s="15"/>
      <c r="V21" s="15"/>
      <c r="W21" s="15"/>
      <c r="X21" s="15"/>
      <c r="Y21" s="16"/>
      <c r="Z21" s="16"/>
      <c r="AA21" s="16"/>
      <c r="AB21" s="16"/>
      <c r="AC21" s="16"/>
      <c r="AD21" s="16"/>
      <c r="AE21" s="16"/>
      <c r="AF21" s="17">
        <f t="shared" si="1"/>
        <v>0</v>
      </c>
    </row>
    <row r="22" spans="1:32" ht="18.75" hidden="1" x14ac:dyDescent="0.3">
      <c r="A22" s="13"/>
      <c r="B22" s="12"/>
      <c r="C22" s="13"/>
      <c r="D22" s="13"/>
      <c r="E22" s="12"/>
      <c r="F22" s="14"/>
      <c r="G22" s="14"/>
      <c r="H22" s="14"/>
      <c r="I22" s="14"/>
      <c r="J22" s="14"/>
      <c r="K22" s="14"/>
      <c r="L22" s="14"/>
      <c r="M22" s="14"/>
      <c r="N22" s="14"/>
      <c r="O22" s="14"/>
      <c r="P22" s="14"/>
      <c r="Q22" s="15"/>
      <c r="R22" s="15"/>
      <c r="S22" s="15"/>
      <c r="T22" s="15"/>
      <c r="U22" s="15"/>
      <c r="V22" s="15"/>
      <c r="W22" s="15"/>
      <c r="X22" s="15"/>
      <c r="Y22" s="16"/>
      <c r="Z22" s="16"/>
      <c r="AA22" s="16"/>
      <c r="AB22" s="16"/>
      <c r="AC22" s="16"/>
      <c r="AD22" s="16"/>
      <c r="AE22" s="16"/>
      <c r="AF22" s="17">
        <f t="shared" si="1"/>
        <v>0</v>
      </c>
    </row>
    <row r="23" spans="1:32" ht="18.75" hidden="1" x14ac:dyDescent="0.3">
      <c r="A23" s="19"/>
      <c r="B23" s="18"/>
      <c r="C23" s="19"/>
      <c r="D23" s="19"/>
      <c r="E23" s="18"/>
      <c r="F23" s="14"/>
      <c r="G23" s="14"/>
      <c r="H23" s="14"/>
      <c r="I23" s="14"/>
      <c r="J23" s="14"/>
      <c r="K23" s="14"/>
      <c r="L23" s="14"/>
      <c r="M23" s="14"/>
      <c r="N23" s="14"/>
      <c r="O23" s="14"/>
      <c r="P23" s="14"/>
      <c r="Q23" s="15"/>
      <c r="R23" s="15"/>
      <c r="S23" s="15"/>
      <c r="T23" s="15"/>
      <c r="U23" s="15"/>
      <c r="V23" s="15"/>
      <c r="W23" s="15"/>
      <c r="X23" s="15"/>
      <c r="Y23" s="16"/>
      <c r="Z23" s="16"/>
      <c r="AA23" s="16"/>
      <c r="AB23" s="16"/>
      <c r="AC23" s="16"/>
      <c r="AD23" s="16"/>
      <c r="AE23" s="16"/>
      <c r="AF23" s="17">
        <f t="shared" si="1"/>
        <v>0</v>
      </c>
    </row>
    <row r="24" spans="1:32" ht="18.75" hidden="1" x14ac:dyDescent="0.3">
      <c r="A24" s="13"/>
      <c r="B24" s="12"/>
      <c r="C24" s="13"/>
      <c r="D24" s="13"/>
      <c r="E24" s="12"/>
      <c r="F24" s="14"/>
      <c r="G24" s="14"/>
      <c r="H24" s="14"/>
      <c r="I24" s="14"/>
      <c r="J24" s="14"/>
      <c r="K24" s="14"/>
      <c r="L24" s="14"/>
      <c r="M24" s="14"/>
      <c r="N24" s="14"/>
      <c r="O24" s="14"/>
      <c r="P24" s="14"/>
      <c r="Q24" s="15"/>
      <c r="R24" s="15"/>
      <c r="S24" s="15"/>
      <c r="T24" s="15"/>
      <c r="U24" s="15"/>
      <c r="V24" s="15"/>
      <c r="W24" s="15"/>
      <c r="X24" s="15"/>
      <c r="Y24" s="16"/>
      <c r="Z24" s="16"/>
      <c r="AA24" s="16"/>
      <c r="AB24" s="16"/>
      <c r="AC24" s="16"/>
      <c r="AD24" s="16"/>
      <c r="AE24" s="16"/>
      <c r="AF24" s="17">
        <f t="shared" si="1"/>
        <v>0</v>
      </c>
    </row>
    <row r="25" spans="1:32" ht="21.75" customHeight="1" x14ac:dyDescent="0.25">
      <c r="A25" s="38" t="s">
        <v>30</v>
      </c>
      <c r="B25" s="39"/>
      <c r="C25" s="39"/>
      <c r="D25" s="39"/>
      <c r="E25" s="40"/>
      <c r="F25" s="41">
        <f>SUM(AF4:AF24)</f>
        <v>6957.6</v>
      </c>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c r="AF25" s="41"/>
    </row>
    <row r="26" spans="1:32" ht="15.75" customHeight="1" x14ac:dyDescent="0.25">
      <c r="A26" s="30" t="s">
        <v>37</v>
      </c>
      <c r="B26" s="30"/>
      <c r="C26" s="30"/>
      <c r="D26" s="30"/>
      <c r="E26" s="31" t="s">
        <v>38</v>
      </c>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row>
    <row r="27" spans="1:32" ht="15.75" customHeight="1" x14ac:dyDescent="0.25">
      <c r="A27" s="30"/>
      <c r="B27" s="30"/>
      <c r="C27" s="30"/>
      <c r="D27" s="30"/>
      <c r="E27" s="31"/>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row>
    <row r="31" spans="1:32" x14ac:dyDescent="0.25">
      <c r="C31" s="23"/>
    </row>
    <row r="32" spans="1:32" x14ac:dyDescent="0.25">
      <c r="C32" s="23"/>
    </row>
    <row r="33" spans="3:34" x14ac:dyDescent="0.25">
      <c r="C33" s="23"/>
    </row>
    <row r="34" spans="3:34" x14ac:dyDescent="0.25">
      <c r="C34" s="23"/>
    </row>
    <row r="35" spans="3:34" s="22" customFormat="1" x14ac:dyDescent="0.25">
      <c r="C35" s="23"/>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row>
    <row r="36" spans="3:34" s="22" customFormat="1" x14ac:dyDescent="0.25">
      <c r="C36" s="23"/>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row>
    <row r="37" spans="3:34" s="22" customFormat="1" x14ac:dyDescent="0.25">
      <c r="C37" s="23"/>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row>
    <row r="38" spans="3:34" s="22" customFormat="1" x14ac:dyDescent="0.25">
      <c r="C38" s="23"/>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row>
    <row r="39" spans="3:34" s="22" customFormat="1" x14ac:dyDescent="0.25">
      <c r="C39" s="23"/>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row>
    <row r="40" spans="3:34" s="22" customFormat="1" x14ac:dyDescent="0.25">
      <c r="C40" s="23"/>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3:34" s="22" customFormat="1" x14ac:dyDescent="0.25">
      <c r="C41" s="23"/>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3:34" s="22" customFormat="1" x14ac:dyDescent="0.25">
      <c r="C42" s="23"/>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3:34" s="22" customFormat="1" x14ac:dyDescent="0.25">
      <c r="C43" s="23"/>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sheetData>
  <mergeCells count="10">
    <mergeCell ref="A26:D27"/>
    <mergeCell ref="E26:E27"/>
    <mergeCell ref="F26:AF27"/>
    <mergeCell ref="A1:AF1"/>
    <mergeCell ref="A2:A3"/>
    <mergeCell ref="B2:B3"/>
    <mergeCell ref="C2:C3"/>
    <mergeCell ref="D2:D3"/>
    <mergeCell ref="A25:E25"/>
    <mergeCell ref="F25:AF25"/>
  </mergeCells>
  <phoneticPr fontId="3" type="noConversion"/>
  <printOptions horizontalCentered="1"/>
  <pageMargins left="0.23622047244094488" right="0.23622047244094488" top="0.74803149606299213" bottom="0" header="0.31496062992125984" footer="0.31496062992125984"/>
  <pageSetup paperSize="9" scale="97" fitToHeight="0"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I37"/>
  <sheetViews>
    <sheetView zoomScaleNormal="100" workbookViewId="0">
      <selection activeCell="AI12" sqref="AI12"/>
    </sheetView>
  </sheetViews>
  <sheetFormatPr defaultRowHeight="15.75" x14ac:dyDescent="0.25"/>
  <cols>
    <col min="1" max="1" width="9.25" style="22" customWidth="1"/>
    <col min="2" max="2" width="11.25" style="22" bestFit="1" customWidth="1"/>
    <col min="3" max="3" width="7.375" style="22" bestFit="1" customWidth="1"/>
    <col min="4" max="4" width="7.25" style="22" customWidth="1"/>
    <col min="5" max="5" width="59.25" style="1" customWidth="1"/>
    <col min="6" max="7" width="6.75" style="22" customWidth="1"/>
    <col min="8" max="8" width="4.25" style="22" customWidth="1"/>
    <col min="9" max="9" width="5.5" style="22" customWidth="1"/>
    <col min="10" max="10" width="5.5" style="22" bestFit="1" customWidth="1"/>
    <col min="11" max="11" width="5.5" style="22" customWidth="1"/>
    <col min="12" max="12" width="4.25" style="22" customWidth="1"/>
    <col min="13" max="13" width="8" style="22" customWidth="1"/>
    <col min="14" max="14" width="8" style="22" hidden="1" customWidth="1"/>
    <col min="15" max="15" width="4.25" style="22" hidden="1" customWidth="1"/>
    <col min="16" max="16" width="8.5" style="22" hidden="1" customWidth="1"/>
    <col min="17" max="18" width="5.5" style="22" hidden="1" customWidth="1"/>
    <col min="19" max="19" width="5.5" style="22" customWidth="1"/>
    <col min="20" max="20" width="5.5" style="22" hidden="1" customWidth="1"/>
    <col min="21" max="21" width="5.5" style="22" bestFit="1" customWidth="1"/>
    <col min="22" max="23" width="5.5" style="22" hidden="1" customWidth="1"/>
    <col min="24" max="24" width="6.75" style="22" hidden="1" customWidth="1"/>
    <col min="25" max="25" width="5.5" style="22" customWidth="1"/>
    <col min="26" max="26" width="3.375" style="22" hidden="1" customWidth="1"/>
    <col min="27" max="27" width="4.25" style="22" hidden="1" customWidth="1"/>
    <col min="28" max="29" width="5.5" style="22" hidden="1" customWidth="1"/>
    <col min="30" max="32" width="5.5" style="22" customWidth="1"/>
    <col min="33" max="33" width="12.75" style="1" customWidth="1"/>
    <col min="34" max="16384" width="9" style="1"/>
  </cols>
  <sheetData>
    <row r="1" spans="1:35" ht="28.5" x14ac:dyDescent="0.45">
      <c r="A1" s="33" t="s">
        <v>90</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row>
    <row r="2" spans="1:35" ht="198.75" customHeight="1" x14ac:dyDescent="0.25">
      <c r="A2" s="34" t="s">
        <v>0</v>
      </c>
      <c r="B2" s="36" t="s">
        <v>1</v>
      </c>
      <c r="C2" s="36" t="s">
        <v>2</v>
      </c>
      <c r="D2" s="36" t="s">
        <v>3</v>
      </c>
      <c r="E2" s="2" t="s">
        <v>4</v>
      </c>
      <c r="F2" s="24" t="s">
        <v>5</v>
      </c>
      <c r="G2" s="24" t="s">
        <v>6</v>
      </c>
      <c r="H2" s="24" t="s">
        <v>7</v>
      </c>
      <c r="I2" s="24" t="s">
        <v>8</v>
      </c>
      <c r="J2" s="24" t="s">
        <v>9</v>
      </c>
      <c r="K2" s="25" t="s">
        <v>10</v>
      </c>
      <c r="L2" s="24" t="s">
        <v>11</v>
      </c>
      <c r="M2" s="24" t="s">
        <v>12</v>
      </c>
      <c r="N2" s="24" t="s">
        <v>13</v>
      </c>
      <c r="O2" s="24" t="s">
        <v>14</v>
      </c>
      <c r="P2" s="24" t="s">
        <v>15</v>
      </c>
      <c r="Q2" s="24" t="s">
        <v>16</v>
      </c>
      <c r="R2" s="24" t="s">
        <v>17</v>
      </c>
      <c r="S2" s="24" t="s">
        <v>18</v>
      </c>
      <c r="T2" s="24" t="s">
        <v>19</v>
      </c>
      <c r="U2" s="24" t="s">
        <v>20</v>
      </c>
      <c r="V2" s="24" t="s">
        <v>21</v>
      </c>
      <c r="W2" s="24" t="s">
        <v>22</v>
      </c>
      <c r="X2" s="24" t="s">
        <v>23</v>
      </c>
      <c r="Y2" s="24" t="s">
        <v>115</v>
      </c>
      <c r="Z2" s="24" t="s">
        <v>25</v>
      </c>
      <c r="AA2" s="24" t="s">
        <v>26</v>
      </c>
      <c r="AB2" s="24" t="s">
        <v>27</v>
      </c>
      <c r="AC2" s="24" t="s">
        <v>28</v>
      </c>
      <c r="AD2" s="24" t="s">
        <v>29</v>
      </c>
      <c r="AE2" s="24" t="s">
        <v>63</v>
      </c>
      <c r="AF2" s="24" t="s">
        <v>128</v>
      </c>
      <c r="AG2" s="5" t="s">
        <v>30</v>
      </c>
      <c r="AH2" s="6"/>
      <c r="AI2" s="6"/>
    </row>
    <row r="3" spans="1:35" ht="18" x14ac:dyDescent="0.35">
      <c r="A3" s="35"/>
      <c r="B3" s="37"/>
      <c r="C3" s="37"/>
      <c r="D3" s="37"/>
      <c r="E3" s="7" t="s">
        <v>31</v>
      </c>
      <c r="F3" s="8">
        <v>20.7</v>
      </c>
      <c r="G3" s="8">
        <v>15.5</v>
      </c>
      <c r="H3" s="8">
        <v>33</v>
      </c>
      <c r="I3" s="8">
        <v>8</v>
      </c>
      <c r="J3" s="8">
        <v>37</v>
      </c>
      <c r="K3" s="8">
        <v>5.5</v>
      </c>
      <c r="L3" s="8">
        <v>38</v>
      </c>
      <c r="M3" s="9">
        <v>50.93</v>
      </c>
      <c r="N3" s="9">
        <v>68.25</v>
      </c>
      <c r="O3" s="8">
        <v>85</v>
      </c>
      <c r="P3" s="10">
        <v>110.25</v>
      </c>
      <c r="Q3" s="8">
        <v>150</v>
      </c>
      <c r="R3" s="8">
        <v>240</v>
      </c>
      <c r="S3" s="8">
        <v>260</v>
      </c>
      <c r="T3" s="8">
        <v>280</v>
      </c>
      <c r="U3" s="8">
        <v>400</v>
      </c>
      <c r="V3" s="8">
        <v>800</v>
      </c>
      <c r="W3" s="8">
        <v>393</v>
      </c>
      <c r="X3" s="8">
        <v>1180</v>
      </c>
      <c r="Y3" s="8">
        <v>230</v>
      </c>
      <c r="Z3" s="8">
        <v>4</v>
      </c>
      <c r="AA3" s="8">
        <v>10</v>
      </c>
      <c r="AB3" s="8">
        <v>974</v>
      </c>
      <c r="AC3" s="8">
        <v>0</v>
      </c>
      <c r="AD3" s="8">
        <v>165</v>
      </c>
      <c r="AE3" s="8">
        <v>460</v>
      </c>
      <c r="AF3" s="8">
        <v>980</v>
      </c>
      <c r="AG3" s="11" t="s">
        <v>32</v>
      </c>
    </row>
    <row r="4" spans="1:35" ht="18.75" x14ac:dyDescent="0.3">
      <c r="A4" s="13">
        <v>7150</v>
      </c>
      <c r="B4" s="12" t="s">
        <v>91</v>
      </c>
      <c r="C4" s="13" t="s">
        <v>92</v>
      </c>
      <c r="D4" s="13">
        <v>1157</v>
      </c>
      <c r="E4" s="12" t="s">
        <v>93</v>
      </c>
      <c r="F4" s="14"/>
      <c r="G4" s="14"/>
      <c r="H4" s="14"/>
      <c r="I4" s="14">
        <v>100</v>
      </c>
      <c r="J4" s="14">
        <v>100</v>
      </c>
      <c r="K4" s="14"/>
      <c r="L4" s="14">
        <v>8</v>
      </c>
      <c r="M4" s="14">
        <v>4</v>
      </c>
      <c r="N4" s="14"/>
      <c r="O4" s="14"/>
      <c r="P4" s="14"/>
      <c r="Q4" s="15"/>
      <c r="R4" s="15"/>
      <c r="S4" s="15"/>
      <c r="T4" s="15"/>
      <c r="U4" s="15"/>
      <c r="V4" s="15"/>
      <c r="W4" s="15"/>
      <c r="X4" s="15"/>
      <c r="Y4" s="15"/>
      <c r="Z4" s="15"/>
      <c r="AA4" s="15"/>
      <c r="AB4" s="15"/>
      <c r="AC4" s="15"/>
      <c r="AD4" s="15"/>
      <c r="AE4" s="15">
        <v>2</v>
      </c>
      <c r="AF4" s="15"/>
      <c r="AG4" s="17">
        <f>$F$3*F4+$G$3*G4+$H$3*H4+$I$3*I4++$J$3*J4+$K$3*K4+$L$3*L4+$M$3*M4+$N$3*N4+$O$3*O4+$P$3*P4+$Q$3*Q4+$R$3*R4+$S$3*S4+$T$3*T4+$U$3*U4+$V$3*V4+$W$3*W4+$X$3*X4+$Y$3*Y4+$Z$3*Z4+$AA$3*AA4+$AB$3*AB4+$AD$3*AD4+$AE$3*AE4+$AF$3*AF4</f>
        <v>5927.72</v>
      </c>
    </row>
    <row r="5" spans="1:35" ht="18.75" x14ac:dyDescent="0.3">
      <c r="A5" s="19">
        <v>8100</v>
      </c>
      <c r="B5" s="18" t="s">
        <v>33</v>
      </c>
      <c r="C5" s="19" t="s">
        <v>94</v>
      </c>
      <c r="D5" s="19">
        <v>8605</v>
      </c>
      <c r="E5" s="18" t="s">
        <v>110</v>
      </c>
      <c r="F5" s="20"/>
      <c r="G5" s="14"/>
      <c r="H5" s="14"/>
      <c r="I5" s="14"/>
      <c r="J5" s="14"/>
      <c r="K5" s="14"/>
      <c r="L5" s="14">
        <v>70</v>
      </c>
      <c r="M5" s="14"/>
      <c r="N5" s="14"/>
      <c r="O5" s="14"/>
      <c r="P5" s="14"/>
      <c r="Q5" s="15"/>
      <c r="R5" s="15"/>
      <c r="S5" s="15"/>
      <c r="T5" s="15"/>
      <c r="U5" s="15">
        <v>4</v>
      </c>
      <c r="V5" s="15"/>
      <c r="W5" s="15"/>
      <c r="X5" s="15"/>
      <c r="Y5" s="15"/>
      <c r="Z5" s="15"/>
      <c r="AA5" s="15"/>
      <c r="AB5" s="15"/>
      <c r="AC5" s="15"/>
      <c r="AD5" s="15"/>
      <c r="AE5" s="15"/>
      <c r="AF5" s="15"/>
      <c r="AG5" s="17">
        <f t="shared" ref="AG5:AG18" si="0">$F$3*F5+$G$3*G5+$H$3*H5+$I$3*I5++$J$3*J5+$K$3*K5+$L$3*L5+$M$3*M5+$N$3*N5+$O$3*O5+$P$3*P5+$Q$3*Q5+$R$3*R5+$S$3*S5+$T$3*T5+$U$3*U5+$V$3*V5+$W$3*W5+$X$3*X5+$Y$3*Y5+$Z$3*Z5+$AA$3*AA5+$AB$3*AB5+$AD$3*AD5+$AE$3*AE5+$AF$3*AF5</f>
        <v>4260</v>
      </c>
    </row>
    <row r="6" spans="1:35" ht="18.75" x14ac:dyDescent="0.3">
      <c r="A6" s="19">
        <v>8100</v>
      </c>
      <c r="B6" s="12" t="s">
        <v>33</v>
      </c>
      <c r="C6" s="13" t="s">
        <v>94</v>
      </c>
      <c r="D6" s="19">
        <v>8605</v>
      </c>
      <c r="E6" s="12" t="s">
        <v>111</v>
      </c>
      <c r="F6" s="21"/>
      <c r="G6" s="14"/>
      <c r="H6" s="14"/>
      <c r="I6" s="14"/>
      <c r="J6" s="14"/>
      <c r="K6" s="14"/>
      <c r="L6" s="14"/>
      <c r="M6" s="14"/>
      <c r="N6" s="14"/>
      <c r="O6" s="14"/>
      <c r="P6" s="14"/>
      <c r="Q6" s="15"/>
      <c r="R6" s="15"/>
      <c r="S6" s="15"/>
      <c r="T6" s="15"/>
      <c r="U6" s="15">
        <v>1</v>
      </c>
      <c r="V6" s="15"/>
      <c r="W6" s="15"/>
      <c r="X6" s="15"/>
      <c r="Y6" s="15"/>
      <c r="Z6" s="15"/>
      <c r="AA6" s="15"/>
      <c r="AB6" s="15"/>
      <c r="AC6" s="15"/>
      <c r="AD6" s="15"/>
      <c r="AE6" s="15"/>
      <c r="AF6" s="15"/>
      <c r="AG6" s="17">
        <f t="shared" si="0"/>
        <v>400</v>
      </c>
    </row>
    <row r="7" spans="1:35" ht="18.75" x14ac:dyDescent="0.3">
      <c r="A7" s="13">
        <v>6100</v>
      </c>
      <c r="B7" s="12" t="s">
        <v>104</v>
      </c>
      <c r="C7" s="13" t="s">
        <v>95</v>
      </c>
      <c r="D7" s="13">
        <v>1402</v>
      </c>
      <c r="E7" s="12" t="s">
        <v>112</v>
      </c>
      <c r="F7" s="21"/>
      <c r="G7" s="14"/>
      <c r="H7" s="14"/>
      <c r="I7" s="14">
        <v>50</v>
      </c>
      <c r="J7" s="14">
        <v>50</v>
      </c>
      <c r="K7" s="14"/>
      <c r="L7" s="14"/>
      <c r="M7" s="14"/>
      <c r="N7" s="14"/>
      <c r="O7" s="14"/>
      <c r="P7" s="14"/>
      <c r="Q7" s="15"/>
      <c r="R7" s="15"/>
      <c r="S7" s="15"/>
      <c r="T7" s="15"/>
      <c r="U7" s="15"/>
      <c r="V7" s="15"/>
      <c r="W7" s="15"/>
      <c r="X7" s="15"/>
      <c r="Y7" s="15"/>
      <c r="Z7" s="15"/>
      <c r="AA7" s="15"/>
      <c r="AB7" s="15"/>
      <c r="AC7" s="15"/>
      <c r="AD7" s="15"/>
      <c r="AE7" s="15"/>
      <c r="AF7" s="15"/>
      <c r="AG7" s="17">
        <f t="shared" si="0"/>
        <v>2250</v>
      </c>
    </row>
    <row r="8" spans="1:35" ht="18.75" x14ac:dyDescent="0.3">
      <c r="A8" s="13" t="s">
        <v>114</v>
      </c>
      <c r="B8" s="12" t="s">
        <v>105</v>
      </c>
      <c r="C8" s="13" t="s">
        <v>96</v>
      </c>
      <c r="D8" s="13">
        <v>8897</v>
      </c>
      <c r="E8" s="12" t="s">
        <v>113</v>
      </c>
      <c r="F8" s="21">
        <v>1</v>
      </c>
      <c r="G8" s="14"/>
      <c r="H8" s="14"/>
      <c r="I8" s="14"/>
      <c r="J8" s="14"/>
      <c r="K8" s="14"/>
      <c r="L8" s="14"/>
      <c r="M8" s="14"/>
      <c r="N8" s="14"/>
      <c r="O8" s="14"/>
      <c r="P8" s="14"/>
      <c r="Q8" s="15"/>
      <c r="R8" s="15"/>
      <c r="S8" s="15"/>
      <c r="T8" s="15"/>
      <c r="U8" s="15">
        <v>1</v>
      </c>
      <c r="V8" s="15"/>
      <c r="W8" s="15"/>
      <c r="X8" s="15"/>
      <c r="Y8" s="15">
        <v>3</v>
      </c>
      <c r="Z8" s="15"/>
      <c r="AA8" s="15"/>
      <c r="AB8" s="15"/>
      <c r="AC8" s="15"/>
      <c r="AD8" s="15"/>
      <c r="AE8" s="15"/>
      <c r="AF8" s="15"/>
      <c r="AG8" s="17">
        <f t="shared" si="0"/>
        <v>1110.7</v>
      </c>
    </row>
    <row r="9" spans="1:35" ht="18.75" x14ac:dyDescent="0.3">
      <c r="A9" s="19">
        <v>8100</v>
      </c>
      <c r="B9" s="12" t="s">
        <v>33</v>
      </c>
      <c r="C9" s="13" t="s">
        <v>97</v>
      </c>
      <c r="D9" s="13">
        <v>8603</v>
      </c>
      <c r="E9" s="12" t="s">
        <v>116</v>
      </c>
      <c r="F9" s="21"/>
      <c r="G9" s="14"/>
      <c r="H9" s="14"/>
      <c r="I9" s="14"/>
      <c r="J9" s="14"/>
      <c r="K9" s="14"/>
      <c r="L9" s="14"/>
      <c r="M9" s="14"/>
      <c r="N9" s="14"/>
      <c r="O9" s="14"/>
      <c r="P9" s="14"/>
      <c r="Q9" s="15"/>
      <c r="R9" s="15"/>
      <c r="S9" s="15"/>
      <c r="T9" s="15"/>
      <c r="U9" s="15"/>
      <c r="V9" s="15"/>
      <c r="W9" s="15"/>
      <c r="X9" s="15"/>
      <c r="Y9" s="15"/>
      <c r="Z9" s="15"/>
      <c r="AA9" s="15"/>
      <c r="AB9" s="15"/>
      <c r="AC9" s="15"/>
      <c r="AD9" s="15">
        <v>1</v>
      </c>
      <c r="AE9" s="15"/>
      <c r="AF9" s="15"/>
      <c r="AG9" s="17">
        <f t="shared" si="0"/>
        <v>165</v>
      </c>
    </row>
    <row r="10" spans="1:35" ht="18.75" x14ac:dyDescent="0.3">
      <c r="A10" s="13" t="s">
        <v>117</v>
      </c>
      <c r="B10" s="12" t="s">
        <v>106</v>
      </c>
      <c r="C10" s="13" t="s">
        <v>98</v>
      </c>
      <c r="D10" s="13">
        <v>7205</v>
      </c>
      <c r="E10" s="12" t="s">
        <v>118</v>
      </c>
      <c r="F10" s="21"/>
      <c r="G10" s="14"/>
      <c r="H10" s="14"/>
      <c r="I10" s="14"/>
      <c r="J10" s="14"/>
      <c r="K10" s="14"/>
      <c r="L10" s="14"/>
      <c r="M10" s="14"/>
      <c r="N10" s="14"/>
      <c r="O10" s="14"/>
      <c r="P10" s="14"/>
      <c r="Q10" s="15"/>
      <c r="R10" s="15"/>
      <c r="S10" s="15"/>
      <c r="T10" s="15"/>
      <c r="U10" s="15"/>
      <c r="V10" s="15"/>
      <c r="W10" s="15"/>
      <c r="X10" s="15"/>
      <c r="Y10" s="15"/>
      <c r="Z10" s="15"/>
      <c r="AA10" s="15"/>
      <c r="AB10" s="15"/>
      <c r="AC10" s="15"/>
      <c r="AD10" s="15"/>
      <c r="AE10" s="15">
        <v>3</v>
      </c>
      <c r="AF10" s="15"/>
      <c r="AG10" s="17">
        <f t="shared" si="0"/>
        <v>1380</v>
      </c>
    </row>
    <row r="11" spans="1:35" ht="18.75" x14ac:dyDescent="0.3">
      <c r="A11" s="13" t="s">
        <v>117</v>
      </c>
      <c r="B11" s="12" t="s">
        <v>106</v>
      </c>
      <c r="C11" s="13" t="s">
        <v>98</v>
      </c>
      <c r="D11" s="13">
        <v>7205</v>
      </c>
      <c r="E11" s="12" t="s">
        <v>118</v>
      </c>
      <c r="F11" s="21">
        <v>1</v>
      </c>
      <c r="G11" s="14"/>
      <c r="H11" s="14"/>
      <c r="I11" s="14"/>
      <c r="J11" s="14"/>
      <c r="K11" s="14"/>
      <c r="L11" s="14"/>
      <c r="M11" s="14"/>
      <c r="N11" s="14"/>
      <c r="O11" s="14"/>
      <c r="P11" s="14"/>
      <c r="Q11" s="15"/>
      <c r="R11" s="15"/>
      <c r="S11" s="15"/>
      <c r="T11" s="15"/>
      <c r="U11" s="15"/>
      <c r="V11" s="15"/>
      <c r="W11" s="15"/>
      <c r="X11" s="15"/>
      <c r="Y11" s="15"/>
      <c r="Z11" s="15"/>
      <c r="AA11" s="15"/>
      <c r="AB11" s="15"/>
      <c r="AC11" s="15"/>
      <c r="AD11" s="15"/>
      <c r="AE11" s="15"/>
      <c r="AF11" s="15"/>
      <c r="AG11" s="17">
        <f t="shared" si="0"/>
        <v>20.7</v>
      </c>
    </row>
    <row r="12" spans="1:35" ht="18.75" x14ac:dyDescent="0.3">
      <c r="A12" s="13" t="s">
        <v>119</v>
      </c>
      <c r="B12" s="12" t="s">
        <v>70</v>
      </c>
      <c r="C12" s="13" t="s">
        <v>99</v>
      </c>
      <c r="D12" s="13">
        <v>7213</v>
      </c>
      <c r="E12" s="12" t="s">
        <v>120</v>
      </c>
      <c r="F12" s="21"/>
      <c r="G12" s="14"/>
      <c r="H12" s="14"/>
      <c r="I12" s="14">
        <v>200</v>
      </c>
      <c r="J12" s="14"/>
      <c r="K12" s="14"/>
      <c r="L12" s="14"/>
      <c r="M12" s="14"/>
      <c r="N12" s="14"/>
      <c r="O12" s="14"/>
      <c r="P12" s="14"/>
      <c r="Q12" s="15"/>
      <c r="R12" s="15"/>
      <c r="S12" s="15"/>
      <c r="T12" s="15"/>
      <c r="U12" s="15"/>
      <c r="V12" s="15"/>
      <c r="W12" s="15"/>
      <c r="X12" s="15"/>
      <c r="Y12" s="15"/>
      <c r="Z12" s="15"/>
      <c r="AA12" s="15"/>
      <c r="AB12" s="15"/>
      <c r="AC12" s="15"/>
      <c r="AD12" s="15"/>
      <c r="AE12" s="15"/>
      <c r="AF12" s="15"/>
      <c r="AG12" s="17">
        <f t="shared" si="0"/>
        <v>1600</v>
      </c>
    </row>
    <row r="13" spans="1:35" ht="18.75" x14ac:dyDescent="0.3">
      <c r="A13" s="19">
        <v>8100</v>
      </c>
      <c r="B13" s="12" t="s">
        <v>33</v>
      </c>
      <c r="C13" s="13" t="s">
        <v>94</v>
      </c>
      <c r="D13" s="19">
        <v>8605</v>
      </c>
      <c r="E13" s="12" t="s">
        <v>121</v>
      </c>
      <c r="F13" s="21"/>
      <c r="G13" s="14"/>
      <c r="H13" s="14"/>
      <c r="I13" s="14"/>
      <c r="J13" s="14"/>
      <c r="K13" s="14">
        <v>100</v>
      </c>
      <c r="L13" s="14"/>
      <c r="M13" s="14"/>
      <c r="N13" s="14"/>
      <c r="O13" s="14"/>
      <c r="P13" s="14"/>
      <c r="Q13" s="15"/>
      <c r="R13" s="15"/>
      <c r="S13" s="15">
        <v>17</v>
      </c>
      <c r="T13" s="15"/>
      <c r="U13" s="15"/>
      <c r="V13" s="15"/>
      <c r="W13" s="15"/>
      <c r="X13" s="15"/>
      <c r="Y13" s="15"/>
      <c r="Z13" s="15"/>
      <c r="AA13" s="15"/>
      <c r="AB13" s="15"/>
      <c r="AC13" s="15"/>
      <c r="AD13" s="15"/>
      <c r="AE13" s="15"/>
      <c r="AF13" s="15"/>
      <c r="AG13" s="17">
        <f t="shared" si="0"/>
        <v>4970</v>
      </c>
    </row>
    <row r="14" spans="1:35" ht="18.75" x14ac:dyDescent="0.3">
      <c r="A14" s="19">
        <v>8100</v>
      </c>
      <c r="B14" s="12" t="s">
        <v>33</v>
      </c>
      <c r="C14" s="13" t="s">
        <v>97</v>
      </c>
      <c r="D14" s="13">
        <v>8603</v>
      </c>
      <c r="E14" s="12" t="s">
        <v>122</v>
      </c>
      <c r="F14" s="21"/>
      <c r="G14" s="14"/>
      <c r="H14" s="14"/>
      <c r="I14" s="14"/>
      <c r="J14" s="14"/>
      <c r="K14" s="14"/>
      <c r="L14" s="14"/>
      <c r="M14" s="14"/>
      <c r="N14" s="14"/>
      <c r="O14" s="14"/>
      <c r="P14" s="14"/>
      <c r="Q14" s="15"/>
      <c r="R14" s="15"/>
      <c r="S14" s="15"/>
      <c r="T14" s="15"/>
      <c r="U14" s="15">
        <v>5</v>
      </c>
      <c r="V14" s="15"/>
      <c r="W14" s="15"/>
      <c r="X14" s="15"/>
      <c r="Y14" s="15"/>
      <c r="Z14" s="15"/>
      <c r="AA14" s="15"/>
      <c r="AB14" s="15"/>
      <c r="AC14" s="15"/>
      <c r="AD14" s="15"/>
      <c r="AE14" s="15"/>
      <c r="AF14" s="15"/>
      <c r="AG14" s="17">
        <f t="shared" si="0"/>
        <v>2000</v>
      </c>
    </row>
    <row r="15" spans="1:35" ht="18.75" x14ac:dyDescent="0.3">
      <c r="A15" s="19">
        <v>7100</v>
      </c>
      <c r="B15" s="18" t="s">
        <v>107</v>
      </c>
      <c r="C15" s="19" t="s">
        <v>100</v>
      </c>
      <c r="D15" s="19" t="s">
        <v>123</v>
      </c>
      <c r="E15" s="18" t="s">
        <v>124</v>
      </c>
      <c r="F15" s="14"/>
      <c r="G15" s="14">
        <v>6</v>
      </c>
      <c r="H15" s="14">
        <v>3</v>
      </c>
      <c r="I15" s="14"/>
      <c r="J15" s="14"/>
      <c r="K15" s="14"/>
      <c r="L15" s="14"/>
      <c r="M15" s="14">
        <v>2</v>
      </c>
      <c r="N15" s="14"/>
      <c r="O15" s="14"/>
      <c r="P15" s="14"/>
      <c r="Q15" s="15"/>
      <c r="R15" s="15"/>
      <c r="S15" s="15"/>
      <c r="T15" s="15"/>
      <c r="U15" s="15">
        <v>3</v>
      </c>
      <c r="V15" s="15"/>
      <c r="W15" s="15"/>
      <c r="X15" s="15"/>
      <c r="Y15" s="15"/>
      <c r="Z15" s="15"/>
      <c r="AA15" s="15"/>
      <c r="AB15" s="15"/>
      <c r="AC15" s="15"/>
      <c r="AD15" s="15"/>
      <c r="AE15" s="15"/>
      <c r="AF15" s="15"/>
      <c r="AG15" s="17">
        <f t="shared" si="0"/>
        <v>1493.8600000000001</v>
      </c>
    </row>
    <row r="16" spans="1:35" ht="18.75" x14ac:dyDescent="0.3">
      <c r="A16" s="13" t="s">
        <v>125</v>
      </c>
      <c r="B16" s="12" t="s">
        <v>108</v>
      </c>
      <c r="C16" s="13" t="s">
        <v>101</v>
      </c>
      <c r="D16" s="13">
        <v>8029</v>
      </c>
      <c r="E16" s="12" t="s">
        <v>126</v>
      </c>
      <c r="F16" s="14"/>
      <c r="G16" s="14">
        <v>15</v>
      </c>
      <c r="H16" s="14"/>
      <c r="I16" s="14"/>
      <c r="J16" s="14"/>
      <c r="K16" s="14">
        <v>15</v>
      </c>
      <c r="L16" s="14"/>
      <c r="M16" s="14"/>
      <c r="N16" s="14"/>
      <c r="O16" s="14"/>
      <c r="P16" s="14"/>
      <c r="Q16" s="15"/>
      <c r="R16" s="15"/>
      <c r="S16" s="15"/>
      <c r="T16" s="15"/>
      <c r="U16" s="15"/>
      <c r="V16" s="15"/>
      <c r="W16" s="15"/>
      <c r="X16" s="15"/>
      <c r="Y16" s="15"/>
      <c r="Z16" s="15"/>
      <c r="AA16" s="15"/>
      <c r="AB16" s="15"/>
      <c r="AC16" s="15"/>
      <c r="AD16" s="15"/>
      <c r="AE16" s="15"/>
      <c r="AF16" s="15"/>
      <c r="AG16" s="17">
        <f t="shared" si="0"/>
        <v>315</v>
      </c>
    </row>
    <row r="17" spans="1:35" ht="18.75" x14ac:dyDescent="0.3">
      <c r="A17" s="19">
        <v>100</v>
      </c>
      <c r="B17" s="18" t="s">
        <v>109</v>
      </c>
      <c r="C17" s="19" t="s">
        <v>102</v>
      </c>
      <c r="D17" s="19">
        <v>1806</v>
      </c>
      <c r="E17" s="18" t="s">
        <v>127</v>
      </c>
      <c r="F17" s="14"/>
      <c r="G17" s="14"/>
      <c r="H17" s="14"/>
      <c r="I17" s="14"/>
      <c r="J17" s="14"/>
      <c r="K17" s="14"/>
      <c r="L17" s="14"/>
      <c r="M17" s="14"/>
      <c r="N17" s="14"/>
      <c r="O17" s="14"/>
      <c r="P17" s="14"/>
      <c r="Q17" s="15"/>
      <c r="R17" s="15"/>
      <c r="S17" s="15"/>
      <c r="T17" s="15"/>
      <c r="U17" s="15">
        <v>2</v>
      </c>
      <c r="V17" s="15"/>
      <c r="W17" s="15"/>
      <c r="X17" s="15"/>
      <c r="Y17" s="15"/>
      <c r="Z17" s="15"/>
      <c r="AA17" s="15"/>
      <c r="AB17" s="15"/>
      <c r="AC17" s="15"/>
      <c r="AD17" s="15"/>
      <c r="AE17" s="15"/>
      <c r="AF17" s="15">
        <v>1</v>
      </c>
      <c r="AG17" s="17">
        <f t="shared" si="0"/>
        <v>1780</v>
      </c>
    </row>
    <row r="18" spans="1:35" ht="18.75" x14ac:dyDescent="0.3">
      <c r="A18" s="13" t="s">
        <v>117</v>
      </c>
      <c r="B18" s="12" t="s">
        <v>106</v>
      </c>
      <c r="C18" s="13" t="s">
        <v>103</v>
      </c>
      <c r="D18" s="13">
        <v>8868</v>
      </c>
      <c r="E18" s="12" t="s">
        <v>129</v>
      </c>
      <c r="F18" s="14"/>
      <c r="G18" s="14"/>
      <c r="H18" s="14"/>
      <c r="I18" s="14"/>
      <c r="J18" s="14"/>
      <c r="K18" s="14">
        <v>171</v>
      </c>
      <c r="L18" s="14"/>
      <c r="M18" s="14"/>
      <c r="N18" s="14"/>
      <c r="O18" s="14"/>
      <c r="P18" s="14"/>
      <c r="Q18" s="15"/>
      <c r="R18" s="15"/>
      <c r="S18" s="15"/>
      <c r="T18" s="15"/>
      <c r="U18" s="15"/>
      <c r="V18" s="15"/>
      <c r="W18" s="15"/>
      <c r="X18" s="15"/>
      <c r="Y18" s="15"/>
      <c r="Z18" s="15"/>
      <c r="AA18" s="15"/>
      <c r="AB18" s="15"/>
      <c r="AC18" s="15"/>
      <c r="AD18" s="15"/>
      <c r="AE18" s="15"/>
      <c r="AF18" s="15"/>
      <c r="AG18" s="17">
        <f t="shared" si="0"/>
        <v>940.5</v>
      </c>
    </row>
    <row r="19" spans="1:35" ht="21.75" customHeight="1" x14ac:dyDescent="0.25">
      <c r="A19" s="38" t="s">
        <v>30</v>
      </c>
      <c r="B19" s="39"/>
      <c r="C19" s="39"/>
      <c r="D19" s="39"/>
      <c r="E19" s="40"/>
      <c r="F19" s="41">
        <f>SUM(AG4:AG18)</f>
        <v>28613.480000000003</v>
      </c>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row>
    <row r="20" spans="1:35" ht="15.75" customHeight="1" x14ac:dyDescent="0.25">
      <c r="A20" s="30" t="s">
        <v>37</v>
      </c>
      <c r="B20" s="30"/>
      <c r="C20" s="30"/>
      <c r="D20" s="30"/>
      <c r="E20" s="31" t="s">
        <v>38</v>
      </c>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row>
    <row r="21" spans="1:35" ht="15.75" customHeight="1" x14ac:dyDescent="0.25">
      <c r="A21" s="30"/>
      <c r="B21" s="30"/>
      <c r="C21" s="30"/>
      <c r="D21" s="30"/>
      <c r="E21" s="31"/>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row>
    <row r="25" spans="1:35" x14ac:dyDescent="0.25">
      <c r="C25" s="23"/>
    </row>
    <row r="26" spans="1:35" x14ac:dyDescent="0.25">
      <c r="C26" s="23"/>
    </row>
    <row r="27" spans="1:35" x14ac:dyDescent="0.25">
      <c r="C27" s="23"/>
    </row>
    <row r="28" spans="1:35" x14ac:dyDescent="0.25">
      <c r="C28" s="23"/>
    </row>
    <row r="29" spans="1:35" s="22" customFormat="1" x14ac:dyDescent="0.25">
      <c r="C29" s="23"/>
      <c r="E29" s="1"/>
      <c r="AG29" s="1"/>
      <c r="AH29" s="1"/>
      <c r="AI29" s="1"/>
    </row>
    <row r="30" spans="1:35" s="22" customFormat="1" x14ac:dyDescent="0.25">
      <c r="C30" s="23"/>
      <c r="E30" s="1"/>
      <c r="AG30" s="1"/>
      <c r="AH30" s="1"/>
      <c r="AI30" s="1"/>
    </row>
    <row r="31" spans="1:35" s="22" customFormat="1" x14ac:dyDescent="0.25">
      <c r="C31" s="23"/>
      <c r="E31" s="1"/>
      <c r="AG31" s="1"/>
      <c r="AH31" s="1"/>
      <c r="AI31" s="1"/>
    </row>
    <row r="32" spans="1:35" s="22" customFormat="1" x14ac:dyDescent="0.25">
      <c r="C32" s="23"/>
      <c r="E32" s="1"/>
      <c r="AG32" s="1"/>
      <c r="AH32" s="1"/>
      <c r="AI32" s="1"/>
    </row>
    <row r="33" spans="3:35" s="22" customFormat="1" x14ac:dyDescent="0.25">
      <c r="C33" s="23"/>
      <c r="E33" s="1"/>
      <c r="AG33" s="1"/>
      <c r="AH33" s="1"/>
      <c r="AI33" s="1"/>
    </row>
    <row r="34" spans="3:35" s="22" customFormat="1" x14ac:dyDescent="0.25">
      <c r="C34" s="23"/>
      <c r="E34" s="1"/>
      <c r="AG34" s="1"/>
      <c r="AH34" s="1"/>
      <c r="AI34" s="1"/>
    </row>
    <row r="35" spans="3:35" s="22" customFormat="1" x14ac:dyDescent="0.25">
      <c r="C35" s="23"/>
      <c r="E35" s="1"/>
      <c r="AG35" s="1"/>
      <c r="AH35" s="1"/>
      <c r="AI35" s="1"/>
    </row>
    <row r="36" spans="3:35" s="22" customFormat="1" x14ac:dyDescent="0.25">
      <c r="C36" s="23"/>
      <c r="E36" s="1"/>
      <c r="AG36" s="1"/>
      <c r="AH36" s="1"/>
      <c r="AI36" s="1"/>
    </row>
    <row r="37" spans="3:35" s="22" customFormat="1" x14ac:dyDescent="0.25">
      <c r="C37" s="23"/>
      <c r="E37" s="1"/>
      <c r="AG37" s="1"/>
      <c r="AH37" s="1"/>
      <c r="AI37" s="1"/>
    </row>
  </sheetData>
  <mergeCells count="10">
    <mergeCell ref="A20:D21"/>
    <mergeCell ref="E20:E21"/>
    <mergeCell ref="F20:AG21"/>
    <mergeCell ref="A1:AG1"/>
    <mergeCell ref="A2:A3"/>
    <mergeCell ref="B2:B3"/>
    <mergeCell ref="C2:C3"/>
    <mergeCell ref="D2:D3"/>
    <mergeCell ref="A19:E19"/>
    <mergeCell ref="F19:AG19"/>
  </mergeCells>
  <phoneticPr fontId="3" type="noConversion"/>
  <printOptions horizontalCentered="1"/>
  <pageMargins left="0.23622047244094488" right="0.23622047244094488" top="0.74803149606299213" bottom="0" header="0.31496062992125984" footer="0.31496062992125984"/>
  <pageSetup paperSize="9" scale="76" fitToHeight="0"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J37"/>
  <sheetViews>
    <sheetView zoomScaleNormal="100" workbookViewId="0">
      <selection activeCell="AK8" sqref="AK8"/>
    </sheetView>
  </sheetViews>
  <sheetFormatPr defaultRowHeight="15.75" x14ac:dyDescent="0.25"/>
  <cols>
    <col min="1" max="1" width="9.25" style="22" customWidth="1"/>
    <col min="2" max="2" width="11.25" style="22" bestFit="1" customWidth="1"/>
    <col min="3" max="3" width="7.375" style="22" bestFit="1" customWidth="1"/>
    <col min="4" max="4" width="7.25" style="22" customWidth="1"/>
    <col min="5" max="5" width="59.25" style="1" customWidth="1"/>
    <col min="6" max="7" width="6.75" style="22" customWidth="1"/>
    <col min="8" max="8" width="4.25" style="22" customWidth="1"/>
    <col min="9" max="10" width="5.5" style="22" hidden="1" customWidth="1"/>
    <col min="11" max="11" width="5.5" style="22" customWidth="1"/>
    <col min="12" max="12" width="4.25" style="22" hidden="1" customWidth="1"/>
    <col min="13" max="14" width="8" style="22" hidden="1" customWidth="1"/>
    <col min="15" max="15" width="4.25" style="22" hidden="1" customWidth="1"/>
    <col min="16" max="16" width="8.5" style="22" hidden="1" customWidth="1"/>
    <col min="17" max="17" width="5.5" style="22" customWidth="1"/>
    <col min="18" max="18" width="5.5" style="22" hidden="1" customWidth="1"/>
    <col min="19" max="20" width="5.5" style="22" customWidth="1"/>
    <col min="21" max="21" width="5.5" style="22" bestFit="1" customWidth="1"/>
    <col min="22" max="22" width="5.5" style="22" hidden="1" customWidth="1"/>
    <col min="23" max="23" width="5.5" style="22" customWidth="1"/>
    <col min="24" max="24" width="6.75" style="22" hidden="1" customWidth="1"/>
    <col min="25" max="25" width="5.5" style="22" customWidth="1"/>
    <col min="26" max="26" width="3.375" style="22" hidden="1" customWidth="1"/>
    <col min="27" max="27" width="4.25" style="22" hidden="1" customWidth="1"/>
    <col min="28" max="30" width="5.5" style="22" hidden="1" customWidth="1"/>
    <col min="31" max="32" width="5.5" style="22" customWidth="1"/>
    <col min="33" max="33" width="6.75" style="22" bestFit="1" customWidth="1"/>
    <col min="34" max="34" width="12.75" style="1" customWidth="1"/>
    <col min="35" max="16384" width="9" style="1"/>
  </cols>
  <sheetData>
    <row r="1" spans="1:36" ht="28.5" x14ac:dyDescent="0.45">
      <c r="A1" s="33" t="s">
        <v>130</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row>
    <row r="2" spans="1:36" ht="198.75" customHeight="1" x14ac:dyDescent="0.25">
      <c r="A2" s="34" t="s">
        <v>0</v>
      </c>
      <c r="B2" s="36" t="s">
        <v>1</v>
      </c>
      <c r="C2" s="36" t="s">
        <v>2</v>
      </c>
      <c r="D2" s="36" t="s">
        <v>3</v>
      </c>
      <c r="E2" s="2" t="s">
        <v>4</v>
      </c>
      <c r="F2" s="24" t="s">
        <v>5</v>
      </c>
      <c r="G2" s="24" t="s">
        <v>6</v>
      </c>
      <c r="H2" s="24" t="s">
        <v>7</v>
      </c>
      <c r="I2" s="24" t="s">
        <v>8</v>
      </c>
      <c r="J2" s="24" t="s">
        <v>9</v>
      </c>
      <c r="K2" s="25" t="s">
        <v>10</v>
      </c>
      <c r="L2" s="24" t="s">
        <v>11</v>
      </c>
      <c r="M2" s="24" t="s">
        <v>12</v>
      </c>
      <c r="N2" s="24" t="s">
        <v>13</v>
      </c>
      <c r="O2" s="24" t="s">
        <v>14</v>
      </c>
      <c r="P2" s="24" t="s">
        <v>15</v>
      </c>
      <c r="Q2" s="24" t="s">
        <v>16</v>
      </c>
      <c r="R2" s="24" t="s">
        <v>17</v>
      </c>
      <c r="S2" s="24" t="s">
        <v>18</v>
      </c>
      <c r="T2" s="24" t="s">
        <v>19</v>
      </c>
      <c r="U2" s="24" t="s">
        <v>20</v>
      </c>
      <c r="V2" s="24" t="s">
        <v>21</v>
      </c>
      <c r="W2" s="24" t="s">
        <v>22</v>
      </c>
      <c r="X2" s="24" t="s">
        <v>23</v>
      </c>
      <c r="Y2" s="24" t="s">
        <v>115</v>
      </c>
      <c r="Z2" s="24" t="s">
        <v>25</v>
      </c>
      <c r="AA2" s="24" t="s">
        <v>26</v>
      </c>
      <c r="AB2" s="24" t="s">
        <v>27</v>
      </c>
      <c r="AC2" s="24" t="s">
        <v>28</v>
      </c>
      <c r="AD2" s="24" t="s">
        <v>29</v>
      </c>
      <c r="AE2" s="24" t="s">
        <v>63</v>
      </c>
      <c r="AF2" s="24" t="s">
        <v>128</v>
      </c>
      <c r="AG2" s="24" t="s">
        <v>149</v>
      </c>
      <c r="AH2" s="5" t="s">
        <v>30</v>
      </c>
      <c r="AI2" s="6"/>
      <c r="AJ2" s="6"/>
    </row>
    <row r="3" spans="1:36" ht="18" x14ac:dyDescent="0.35">
      <c r="A3" s="35"/>
      <c r="B3" s="37"/>
      <c r="C3" s="37"/>
      <c r="D3" s="37"/>
      <c r="E3" s="7" t="s">
        <v>31</v>
      </c>
      <c r="F3" s="8">
        <v>20.7</v>
      </c>
      <c r="G3" s="8">
        <v>15.5</v>
      </c>
      <c r="H3" s="8">
        <v>33</v>
      </c>
      <c r="I3" s="8">
        <v>8</v>
      </c>
      <c r="J3" s="8">
        <v>37</v>
      </c>
      <c r="K3" s="8">
        <v>5.5</v>
      </c>
      <c r="L3" s="8">
        <v>38</v>
      </c>
      <c r="M3" s="9">
        <v>50.93</v>
      </c>
      <c r="N3" s="9">
        <v>68.25</v>
      </c>
      <c r="O3" s="8">
        <v>85</v>
      </c>
      <c r="P3" s="10">
        <v>110.25</v>
      </c>
      <c r="Q3" s="8">
        <v>150</v>
      </c>
      <c r="R3" s="8">
        <v>240</v>
      </c>
      <c r="S3" s="8">
        <v>260</v>
      </c>
      <c r="T3" s="8">
        <v>280</v>
      </c>
      <c r="U3" s="8">
        <v>400</v>
      </c>
      <c r="V3" s="8">
        <v>800</v>
      </c>
      <c r="W3" s="8">
        <v>393</v>
      </c>
      <c r="X3" s="8">
        <v>1180</v>
      </c>
      <c r="Y3" s="8">
        <v>230</v>
      </c>
      <c r="Z3" s="8">
        <v>4</v>
      </c>
      <c r="AA3" s="8">
        <v>10</v>
      </c>
      <c r="AB3" s="8">
        <v>974</v>
      </c>
      <c r="AC3" s="8">
        <v>0</v>
      </c>
      <c r="AD3" s="8">
        <v>165</v>
      </c>
      <c r="AE3" s="8">
        <v>460</v>
      </c>
      <c r="AF3" s="8">
        <v>980</v>
      </c>
      <c r="AG3" s="8">
        <v>3000</v>
      </c>
      <c r="AH3" s="11" t="s">
        <v>32</v>
      </c>
    </row>
    <row r="4" spans="1:36" ht="18.75" x14ac:dyDescent="0.3">
      <c r="A4" s="13" t="s">
        <v>138</v>
      </c>
      <c r="B4" s="12" t="s">
        <v>49</v>
      </c>
      <c r="C4" s="13" t="s">
        <v>50</v>
      </c>
      <c r="D4" s="13">
        <v>1196</v>
      </c>
      <c r="E4" s="12" t="s">
        <v>139</v>
      </c>
      <c r="F4" s="14"/>
      <c r="G4" s="14"/>
      <c r="H4" s="14">
        <v>15</v>
      </c>
      <c r="I4" s="14"/>
      <c r="J4" s="14"/>
      <c r="K4" s="14"/>
      <c r="L4" s="14"/>
      <c r="M4" s="14"/>
      <c r="N4" s="14"/>
      <c r="O4" s="14"/>
      <c r="P4" s="14"/>
      <c r="Q4" s="15"/>
      <c r="R4" s="15"/>
      <c r="S4" s="15"/>
      <c r="T4" s="15"/>
      <c r="U4" s="15"/>
      <c r="V4" s="15"/>
      <c r="W4" s="15"/>
      <c r="X4" s="15"/>
      <c r="Y4" s="15"/>
      <c r="Z4" s="15"/>
      <c r="AA4" s="15"/>
      <c r="AB4" s="15"/>
      <c r="AC4" s="15"/>
      <c r="AD4" s="15"/>
      <c r="AE4" s="15"/>
      <c r="AF4" s="15"/>
      <c r="AG4" s="15"/>
      <c r="AH4" s="17">
        <f>$F$3*F4+$G$3*G4+$H$3*H4+$I$3*I4++$J$3*J4+$K$3*K4+$L$3*L4+$M$3*M4+$N$3*N4+$O$3*O4+$P$3*P4+$Q$3*Q4+$R$3*R4+$S$3*S4+$T$3*T4+$U$3*U4+$V$3*V4+$W$3*W4+$X$3*X4+$Y$3*Y4+$Z$3*Z4+$AA$3*AA4+$AB$3*AB4+$AD$3*AD4+$AE$3*AE4+$AF$3*AF4+$AG$3*AG4</f>
        <v>495</v>
      </c>
    </row>
    <row r="5" spans="1:36" ht="18.75" x14ac:dyDescent="0.3">
      <c r="A5" s="13" t="s">
        <v>138</v>
      </c>
      <c r="B5" s="12" t="s">
        <v>49</v>
      </c>
      <c r="C5" s="13" t="s">
        <v>131</v>
      </c>
      <c r="D5" s="19">
        <v>8889</v>
      </c>
      <c r="E5" s="12" t="s">
        <v>140</v>
      </c>
      <c r="F5" s="21"/>
      <c r="G5" s="14"/>
      <c r="H5" s="14"/>
      <c r="I5" s="14"/>
      <c r="J5" s="14"/>
      <c r="K5" s="14"/>
      <c r="L5" s="14"/>
      <c r="M5" s="14"/>
      <c r="N5" s="14"/>
      <c r="O5" s="14"/>
      <c r="P5" s="14"/>
      <c r="Q5" s="15"/>
      <c r="R5" s="15"/>
      <c r="S5" s="15"/>
      <c r="T5" s="15"/>
      <c r="U5" s="15"/>
      <c r="V5" s="15"/>
      <c r="W5" s="15"/>
      <c r="X5" s="15"/>
      <c r="Y5" s="15">
        <v>20</v>
      </c>
      <c r="Z5" s="15"/>
      <c r="AA5" s="15"/>
      <c r="AB5" s="15"/>
      <c r="AC5" s="15"/>
      <c r="AD5" s="15"/>
      <c r="AE5" s="15"/>
      <c r="AF5" s="15">
        <v>3</v>
      </c>
      <c r="AG5" s="15"/>
      <c r="AH5" s="17">
        <f t="shared" ref="AH5:AH17" si="0">$F$3*F5+$G$3*G5+$H$3*H5+$I$3*I5++$J$3*J5+$K$3*K5+$L$3*L5+$M$3*M5+$N$3*N5+$O$3*O5+$P$3*P5+$Q$3*Q5+$R$3*R5+$S$3*S5+$T$3*T5+$U$3*U5+$V$3*V5+$W$3*W5+$X$3*X5+$Y$3*Y5+$Z$3*Z5+$AA$3*AA5+$AB$3*AB5+$AD$3*AD5+$AE$3*AE5+$AF$3*AF5+$AG$3*AG5</f>
        <v>7540</v>
      </c>
    </row>
    <row r="6" spans="1:36" ht="18.75" x14ac:dyDescent="0.3">
      <c r="A6" s="19">
        <v>8100</v>
      </c>
      <c r="B6" s="18" t="s">
        <v>33</v>
      </c>
      <c r="C6" s="19" t="s">
        <v>94</v>
      </c>
      <c r="D6" s="13">
        <v>8605</v>
      </c>
      <c r="E6" s="18" t="s">
        <v>141</v>
      </c>
      <c r="F6" s="20"/>
      <c r="G6" s="14"/>
      <c r="H6" s="14"/>
      <c r="I6" s="14"/>
      <c r="J6" s="14"/>
      <c r="K6" s="14"/>
      <c r="L6" s="14"/>
      <c r="M6" s="14"/>
      <c r="N6" s="14"/>
      <c r="O6" s="14"/>
      <c r="P6" s="14"/>
      <c r="Q6" s="15"/>
      <c r="R6" s="15"/>
      <c r="S6" s="15">
        <v>6</v>
      </c>
      <c r="T6" s="15"/>
      <c r="U6" s="15"/>
      <c r="V6" s="15"/>
      <c r="W6" s="15"/>
      <c r="X6" s="15"/>
      <c r="Y6" s="15"/>
      <c r="Z6" s="15"/>
      <c r="AA6" s="15"/>
      <c r="AB6" s="15"/>
      <c r="AC6" s="15"/>
      <c r="AD6" s="15"/>
      <c r="AE6" s="15"/>
      <c r="AF6" s="15"/>
      <c r="AG6" s="15"/>
      <c r="AH6" s="17">
        <f t="shared" si="0"/>
        <v>1560</v>
      </c>
    </row>
    <row r="7" spans="1:36" ht="18.75" x14ac:dyDescent="0.3">
      <c r="A7" s="13" t="s">
        <v>144</v>
      </c>
      <c r="B7" s="12" t="s">
        <v>132</v>
      </c>
      <c r="C7" s="13" t="s">
        <v>133</v>
      </c>
      <c r="D7" s="13">
        <v>8105</v>
      </c>
      <c r="E7" s="12" t="s">
        <v>143</v>
      </c>
      <c r="F7" s="21">
        <v>1</v>
      </c>
      <c r="G7" s="14"/>
      <c r="H7" s="14"/>
      <c r="I7" s="14"/>
      <c r="J7" s="14"/>
      <c r="K7" s="14"/>
      <c r="L7" s="14"/>
      <c r="M7" s="14"/>
      <c r="N7" s="14"/>
      <c r="O7" s="14"/>
      <c r="P7" s="14"/>
      <c r="Q7" s="15"/>
      <c r="R7" s="15"/>
      <c r="S7" s="15"/>
      <c r="T7" s="15"/>
      <c r="U7" s="15"/>
      <c r="V7" s="15"/>
      <c r="W7" s="15"/>
      <c r="X7" s="15"/>
      <c r="Y7" s="15"/>
      <c r="Z7" s="15"/>
      <c r="AA7" s="15"/>
      <c r="AB7" s="15"/>
      <c r="AC7" s="15"/>
      <c r="AD7" s="15"/>
      <c r="AE7" s="15"/>
      <c r="AF7" s="15">
        <v>1</v>
      </c>
      <c r="AG7" s="15"/>
      <c r="AH7" s="17">
        <f t="shared" si="0"/>
        <v>1000.7</v>
      </c>
    </row>
    <row r="8" spans="1:36" ht="18.75" x14ac:dyDescent="0.3">
      <c r="A8" s="13" t="s">
        <v>138</v>
      </c>
      <c r="B8" s="12" t="s">
        <v>49</v>
      </c>
      <c r="C8" s="13" t="s">
        <v>131</v>
      </c>
      <c r="D8" s="19">
        <v>8889</v>
      </c>
      <c r="E8" s="12" t="s">
        <v>140</v>
      </c>
      <c r="F8" s="21">
        <v>3</v>
      </c>
      <c r="G8" s="14"/>
      <c r="H8" s="14"/>
      <c r="I8" s="14"/>
      <c r="J8" s="14"/>
      <c r="K8" s="14"/>
      <c r="L8" s="14"/>
      <c r="M8" s="14"/>
      <c r="N8" s="14"/>
      <c r="O8" s="14"/>
      <c r="P8" s="14"/>
      <c r="Q8" s="15"/>
      <c r="R8" s="15"/>
      <c r="S8" s="15"/>
      <c r="T8" s="15"/>
      <c r="U8" s="15"/>
      <c r="V8" s="15"/>
      <c r="W8" s="15"/>
      <c r="X8" s="15"/>
      <c r="Y8" s="15"/>
      <c r="Z8" s="15"/>
      <c r="AA8" s="15"/>
      <c r="AB8" s="15"/>
      <c r="AC8" s="15"/>
      <c r="AD8" s="15"/>
      <c r="AE8" s="15"/>
      <c r="AF8" s="15"/>
      <c r="AG8" s="15"/>
      <c r="AH8" s="17">
        <f t="shared" si="0"/>
        <v>62.099999999999994</v>
      </c>
    </row>
    <row r="9" spans="1:36" ht="18.75" x14ac:dyDescent="0.3">
      <c r="A9" s="19" t="s">
        <v>145</v>
      </c>
      <c r="B9" s="12" t="s">
        <v>86</v>
      </c>
      <c r="C9" s="13" t="s">
        <v>87</v>
      </c>
      <c r="D9" s="13">
        <v>8516</v>
      </c>
      <c r="E9" s="12" t="s">
        <v>146</v>
      </c>
      <c r="F9" s="21"/>
      <c r="G9" s="14"/>
      <c r="H9" s="14"/>
      <c r="I9" s="14"/>
      <c r="J9" s="14"/>
      <c r="K9" s="14">
        <v>50</v>
      </c>
      <c r="L9" s="14"/>
      <c r="M9" s="14"/>
      <c r="N9" s="14"/>
      <c r="O9" s="14"/>
      <c r="P9" s="14"/>
      <c r="Q9" s="15"/>
      <c r="R9" s="15"/>
      <c r="S9" s="15"/>
      <c r="T9" s="15"/>
      <c r="U9" s="15">
        <v>8</v>
      </c>
      <c r="V9" s="15"/>
      <c r="W9" s="15"/>
      <c r="X9" s="15"/>
      <c r="Y9" s="15"/>
      <c r="Z9" s="15"/>
      <c r="AA9" s="15"/>
      <c r="AB9" s="15"/>
      <c r="AC9" s="15"/>
      <c r="AD9" s="15"/>
      <c r="AE9" s="15"/>
      <c r="AF9" s="15"/>
      <c r="AG9" s="15"/>
      <c r="AH9" s="17">
        <f t="shared" si="0"/>
        <v>3475</v>
      </c>
    </row>
    <row r="10" spans="1:36" ht="18.75" x14ac:dyDescent="0.3">
      <c r="A10" s="13">
        <v>8100</v>
      </c>
      <c r="B10" s="12" t="s">
        <v>33</v>
      </c>
      <c r="C10" s="13" t="s">
        <v>94</v>
      </c>
      <c r="D10" s="13">
        <v>8605</v>
      </c>
      <c r="E10" s="12" t="s">
        <v>147</v>
      </c>
      <c r="F10" s="21"/>
      <c r="G10" s="14">
        <v>7</v>
      </c>
      <c r="H10" s="14"/>
      <c r="I10" s="14"/>
      <c r="J10" s="14"/>
      <c r="K10" s="14"/>
      <c r="L10" s="14"/>
      <c r="M10" s="14"/>
      <c r="N10" s="14"/>
      <c r="O10" s="14"/>
      <c r="P10" s="14"/>
      <c r="Q10" s="15"/>
      <c r="R10" s="15"/>
      <c r="S10" s="15"/>
      <c r="T10" s="15"/>
      <c r="U10" s="15"/>
      <c r="V10" s="15"/>
      <c r="W10" s="15"/>
      <c r="X10" s="15"/>
      <c r="Y10" s="15"/>
      <c r="Z10" s="15"/>
      <c r="AA10" s="15"/>
      <c r="AB10" s="15"/>
      <c r="AC10" s="15"/>
      <c r="AD10" s="15"/>
      <c r="AE10" s="15"/>
      <c r="AF10" s="15"/>
      <c r="AG10" s="15"/>
      <c r="AH10" s="17">
        <f t="shared" si="0"/>
        <v>108.5</v>
      </c>
    </row>
    <row r="11" spans="1:36" ht="18.75" x14ac:dyDescent="0.3">
      <c r="A11" s="19">
        <v>8100</v>
      </c>
      <c r="B11" s="12" t="s">
        <v>142</v>
      </c>
      <c r="C11" s="13" t="s">
        <v>136</v>
      </c>
      <c r="D11" s="13">
        <v>8621</v>
      </c>
      <c r="E11" s="12" t="s">
        <v>148</v>
      </c>
      <c r="F11" s="21"/>
      <c r="G11" s="14"/>
      <c r="H11" s="14"/>
      <c r="I11" s="14"/>
      <c r="J11" s="14"/>
      <c r="K11" s="14"/>
      <c r="L11" s="14"/>
      <c r="M11" s="14"/>
      <c r="N11" s="14"/>
      <c r="O11" s="14"/>
      <c r="P11" s="14"/>
      <c r="Q11" s="15"/>
      <c r="R11" s="15"/>
      <c r="S11" s="15"/>
      <c r="T11" s="15"/>
      <c r="U11" s="15"/>
      <c r="V11" s="15"/>
      <c r="W11" s="15"/>
      <c r="X11" s="15"/>
      <c r="Y11" s="15"/>
      <c r="Z11" s="15"/>
      <c r="AA11" s="15"/>
      <c r="AB11" s="15"/>
      <c r="AC11" s="15"/>
      <c r="AD11" s="15"/>
      <c r="AE11" s="15"/>
      <c r="AF11" s="15"/>
      <c r="AG11" s="15">
        <v>1</v>
      </c>
      <c r="AH11" s="17">
        <f t="shared" si="0"/>
        <v>3000</v>
      </c>
    </row>
    <row r="12" spans="1:36" ht="18.75" x14ac:dyDescent="0.3">
      <c r="A12" s="19" t="s">
        <v>114</v>
      </c>
      <c r="B12" s="12" t="s">
        <v>105</v>
      </c>
      <c r="C12" s="13" t="s">
        <v>96</v>
      </c>
      <c r="D12" s="19">
        <v>8897</v>
      </c>
      <c r="E12" s="12" t="s">
        <v>150</v>
      </c>
      <c r="F12" s="21"/>
      <c r="G12" s="14"/>
      <c r="H12" s="14"/>
      <c r="I12" s="14"/>
      <c r="J12" s="14"/>
      <c r="K12" s="14">
        <v>30</v>
      </c>
      <c r="L12" s="14"/>
      <c r="M12" s="14"/>
      <c r="N12" s="14"/>
      <c r="O12" s="14"/>
      <c r="P12" s="14"/>
      <c r="Q12" s="15">
        <v>30</v>
      </c>
      <c r="R12" s="15"/>
      <c r="S12" s="15"/>
      <c r="T12" s="15"/>
      <c r="U12" s="15"/>
      <c r="V12" s="15"/>
      <c r="W12" s="15"/>
      <c r="X12" s="15"/>
      <c r="Y12" s="15"/>
      <c r="Z12" s="15"/>
      <c r="AA12" s="15"/>
      <c r="AB12" s="15"/>
      <c r="AC12" s="15"/>
      <c r="AD12" s="15"/>
      <c r="AE12" s="15"/>
      <c r="AF12" s="15"/>
      <c r="AG12" s="15"/>
      <c r="AH12" s="17">
        <f t="shared" si="0"/>
        <v>4665</v>
      </c>
    </row>
    <row r="13" spans="1:36" ht="18.75" x14ac:dyDescent="0.3">
      <c r="A13" s="13">
        <v>8100</v>
      </c>
      <c r="B13" s="12" t="s">
        <v>134</v>
      </c>
      <c r="C13" s="13" t="s">
        <v>135</v>
      </c>
      <c r="D13" s="13">
        <v>8617</v>
      </c>
      <c r="E13" s="12" t="s">
        <v>151</v>
      </c>
      <c r="F13" s="21">
        <v>7</v>
      </c>
      <c r="G13" s="14"/>
      <c r="H13" s="14"/>
      <c r="I13" s="14"/>
      <c r="J13" s="14"/>
      <c r="K13" s="14"/>
      <c r="L13" s="14"/>
      <c r="M13" s="14"/>
      <c r="N13" s="14"/>
      <c r="O13" s="14"/>
      <c r="P13" s="14"/>
      <c r="Q13" s="15"/>
      <c r="R13" s="15"/>
      <c r="S13" s="15">
        <v>7</v>
      </c>
      <c r="T13" s="15">
        <v>7</v>
      </c>
      <c r="U13" s="15"/>
      <c r="V13" s="15"/>
      <c r="W13" s="15"/>
      <c r="X13" s="15"/>
      <c r="Y13" s="15"/>
      <c r="Z13" s="15"/>
      <c r="AA13" s="15"/>
      <c r="AB13" s="15"/>
      <c r="AC13" s="15"/>
      <c r="AD13" s="15"/>
      <c r="AE13" s="15"/>
      <c r="AF13" s="15"/>
      <c r="AG13" s="15"/>
      <c r="AH13" s="17">
        <f t="shared" si="0"/>
        <v>3924.9</v>
      </c>
    </row>
    <row r="14" spans="1:36" ht="18.75" x14ac:dyDescent="0.3">
      <c r="A14" s="13" t="s">
        <v>145</v>
      </c>
      <c r="B14" s="12" t="s">
        <v>86</v>
      </c>
      <c r="C14" s="13" t="s">
        <v>87</v>
      </c>
      <c r="D14" s="13">
        <v>8516</v>
      </c>
      <c r="E14" s="12" t="s">
        <v>146</v>
      </c>
      <c r="F14" s="21"/>
      <c r="G14" s="14">
        <v>10</v>
      </c>
      <c r="H14" s="14"/>
      <c r="I14" s="14"/>
      <c r="J14" s="14"/>
      <c r="K14" s="14"/>
      <c r="L14" s="14"/>
      <c r="M14" s="14"/>
      <c r="N14" s="14"/>
      <c r="O14" s="14"/>
      <c r="P14" s="14"/>
      <c r="Q14" s="15"/>
      <c r="R14" s="15"/>
      <c r="S14" s="15"/>
      <c r="T14" s="15">
        <v>10</v>
      </c>
      <c r="U14" s="15"/>
      <c r="V14" s="15"/>
      <c r="W14" s="15"/>
      <c r="X14" s="15"/>
      <c r="Y14" s="15"/>
      <c r="Z14" s="15"/>
      <c r="AA14" s="15"/>
      <c r="AB14" s="15"/>
      <c r="AC14" s="15"/>
      <c r="AD14" s="15"/>
      <c r="AE14" s="15"/>
      <c r="AF14" s="15"/>
      <c r="AG14" s="15"/>
      <c r="AH14" s="17">
        <f t="shared" si="0"/>
        <v>2955</v>
      </c>
    </row>
    <row r="15" spans="1:36" ht="18.75" x14ac:dyDescent="0.3">
      <c r="A15" s="19" t="s">
        <v>153</v>
      </c>
      <c r="B15" s="18" t="s">
        <v>78</v>
      </c>
      <c r="C15" s="19" t="s">
        <v>137</v>
      </c>
      <c r="D15" s="19">
        <v>1811</v>
      </c>
      <c r="E15" s="18" t="s">
        <v>152</v>
      </c>
      <c r="F15" s="14">
        <v>1</v>
      </c>
      <c r="G15" s="14"/>
      <c r="H15" s="14"/>
      <c r="I15" s="14"/>
      <c r="J15" s="14"/>
      <c r="K15" s="14"/>
      <c r="L15" s="14"/>
      <c r="M15" s="14"/>
      <c r="N15" s="14"/>
      <c r="O15" s="14"/>
      <c r="P15" s="14"/>
      <c r="Q15" s="15">
        <v>2</v>
      </c>
      <c r="R15" s="15"/>
      <c r="S15" s="15"/>
      <c r="T15" s="15"/>
      <c r="U15" s="15"/>
      <c r="V15" s="15"/>
      <c r="W15" s="15">
        <v>1</v>
      </c>
      <c r="X15" s="15"/>
      <c r="Y15" s="15"/>
      <c r="Z15" s="15"/>
      <c r="AA15" s="15"/>
      <c r="AB15" s="15"/>
      <c r="AC15" s="15"/>
      <c r="AD15" s="15"/>
      <c r="AE15" s="15"/>
      <c r="AF15" s="15">
        <v>1</v>
      </c>
      <c r="AG15" s="15"/>
      <c r="AH15" s="17">
        <f t="shared" si="0"/>
        <v>1693.7</v>
      </c>
    </row>
    <row r="16" spans="1:36" ht="18.75" x14ac:dyDescent="0.3">
      <c r="A16" s="13" t="s">
        <v>156</v>
      </c>
      <c r="B16" s="12" t="s">
        <v>70</v>
      </c>
      <c r="C16" s="13" t="s">
        <v>71</v>
      </c>
      <c r="D16" s="13">
        <v>7220</v>
      </c>
      <c r="E16" s="26" t="s">
        <v>155</v>
      </c>
      <c r="F16" s="14"/>
      <c r="G16" s="14"/>
      <c r="H16" s="14"/>
      <c r="I16" s="14"/>
      <c r="J16" s="14"/>
      <c r="K16" s="14"/>
      <c r="L16" s="14"/>
      <c r="M16" s="14"/>
      <c r="N16" s="14"/>
      <c r="O16" s="14"/>
      <c r="P16" s="14"/>
      <c r="Q16" s="15">
        <v>20</v>
      </c>
      <c r="R16" s="15"/>
      <c r="S16" s="15"/>
      <c r="T16" s="15"/>
      <c r="U16" s="15"/>
      <c r="V16" s="15"/>
      <c r="W16" s="15"/>
      <c r="X16" s="15"/>
      <c r="Y16" s="15"/>
      <c r="Z16" s="15"/>
      <c r="AA16" s="15"/>
      <c r="AB16" s="15"/>
      <c r="AC16" s="15"/>
      <c r="AD16" s="15"/>
      <c r="AE16" s="15"/>
      <c r="AF16" s="15"/>
      <c r="AG16" s="15"/>
      <c r="AH16" s="17">
        <f t="shared" si="0"/>
        <v>3000</v>
      </c>
    </row>
    <row r="17" spans="1:36" ht="18.75" x14ac:dyDescent="0.3">
      <c r="A17" s="19" t="s">
        <v>117</v>
      </c>
      <c r="B17" s="18" t="s">
        <v>106</v>
      </c>
      <c r="C17" s="19" t="s">
        <v>98</v>
      </c>
      <c r="D17" s="19">
        <v>7205</v>
      </c>
      <c r="E17" s="18" t="s">
        <v>154</v>
      </c>
      <c r="F17" s="14"/>
      <c r="G17" s="14"/>
      <c r="H17" s="14"/>
      <c r="I17" s="14"/>
      <c r="J17" s="14"/>
      <c r="K17" s="14"/>
      <c r="L17" s="14"/>
      <c r="M17" s="14"/>
      <c r="N17" s="14"/>
      <c r="O17" s="14"/>
      <c r="P17" s="14"/>
      <c r="Q17" s="15"/>
      <c r="R17" s="15"/>
      <c r="S17" s="15"/>
      <c r="T17" s="15"/>
      <c r="U17" s="15"/>
      <c r="V17" s="15"/>
      <c r="W17" s="15"/>
      <c r="X17" s="15"/>
      <c r="Y17" s="15"/>
      <c r="Z17" s="15"/>
      <c r="AA17" s="15"/>
      <c r="AB17" s="15"/>
      <c r="AC17" s="15"/>
      <c r="AD17" s="15"/>
      <c r="AE17" s="15">
        <v>1</v>
      </c>
      <c r="AF17" s="15"/>
      <c r="AG17" s="15"/>
      <c r="AH17" s="17">
        <f t="shared" si="0"/>
        <v>460</v>
      </c>
    </row>
    <row r="18" spans="1:36" ht="18.75" hidden="1" x14ac:dyDescent="0.3">
      <c r="A18" s="13"/>
      <c r="B18" s="12"/>
      <c r="C18" s="13"/>
      <c r="D18" s="13"/>
      <c r="E18" s="12"/>
      <c r="F18" s="14"/>
      <c r="G18" s="14"/>
      <c r="H18" s="14"/>
      <c r="I18" s="14"/>
      <c r="J18" s="14"/>
      <c r="K18" s="14"/>
      <c r="L18" s="14"/>
      <c r="M18" s="14"/>
      <c r="N18" s="14"/>
      <c r="O18" s="14"/>
      <c r="P18" s="14"/>
      <c r="Q18" s="15"/>
      <c r="R18" s="15"/>
      <c r="S18" s="15"/>
      <c r="T18" s="15"/>
      <c r="U18" s="15"/>
      <c r="V18" s="15"/>
      <c r="W18" s="15"/>
      <c r="X18" s="15"/>
      <c r="Y18" s="15"/>
      <c r="Z18" s="15"/>
      <c r="AA18" s="15"/>
      <c r="AB18" s="15"/>
      <c r="AC18" s="15"/>
      <c r="AD18" s="15"/>
      <c r="AE18" s="15"/>
      <c r="AF18" s="15"/>
      <c r="AG18" s="15"/>
      <c r="AH18" s="17">
        <f t="shared" ref="AH18" si="1">$F$3*F18+$G$3*G18+$H$3*H18+$I$3*I18++$J$3*J18+$K$3*K18+$L$3*L18+$M$3*M18+$N$3*N18+$O$3*O18+$P$3*P18+$Q$3*Q18+$R$3*R18+$S$3*S18+$T$3*T18+$U$3*U18+$V$3*V18+$W$3*W18+$X$3*X18+$Y$3*Y18+$Z$3*Z18+$AA$3*AA18+$AB$3*AB18+$AD$3*AD18+$AE$3*AE18+$AF$3*AF18</f>
        <v>0</v>
      </c>
    </row>
    <row r="19" spans="1:36" ht="21.75" customHeight="1" x14ac:dyDescent="0.25">
      <c r="A19" s="38" t="s">
        <v>30</v>
      </c>
      <c r="B19" s="39"/>
      <c r="C19" s="39"/>
      <c r="D19" s="39"/>
      <c r="E19" s="40"/>
      <c r="F19" s="41">
        <f>SUM(AH4:AH18)</f>
        <v>33939.900000000009</v>
      </c>
      <c r="G19" s="41"/>
      <c r="H19" s="41"/>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row>
    <row r="20" spans="1:36" ht="15.75" customHeight="1" x14ac:dyDescent="0.25">
      <c r="A20" s="30" t="s">
        <v>37</v>
      </c>
      <c r="B20" s="30"/>
      <c r="C20" s="30"/>
      <c r="D20" s="30"/>
      <c r="E20" s="31" t="s">
        <v>38</v>
      </c>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row>
    <row r="21" spans="1:36" ht="15.75" customHeight="1" x14ac:dyDescent="0.25">
      <c r="A21" s="30"/>
      <c r="B21" s="30"/>
      <c r="C21" s="30"/>
      <c r="D21" s="30"/>
      <c r="E21" s="31"/>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row>
    <row r="25" spans="1:36" x14ac:dyDescent="0.25">
      <c r="C25" s="23"/>
    </row>
    <row r="26" spans="1:36" x14ac:dyDescent="0.25">
      <c r="C26" s="23"/>
    </row>
    <row r="27" spans="1:36" x14ac:dyDescent="0.25">
      <c r="C27" s="23"/>
    </row>
    <row r="28" spans="1:36" x14ac:dyDescent="0.25">
      <c r="C28" s="23"/>
    </row>
    <row r="29" spans="1:36" s="22" customFormat="1" x14ac:dyDescent="0.25">
      <c r="C29" s="23"/>
      <c r="E29" s="1"/>
      <c r="AH29" s="1"/>
      <c r="AI29" s="1"/>
      <c r="AJ29" s="1"/>
    </row>
    <row r="30" spans="1:36" s="22" customFormat="1" x14ac:dyDescent="0.25">
      <c r="C30" s="23"/>
      <c r="E30" s="1"/>
      <c r="AH30" s="1"/>
      <c r="AI30" s="1"/>
      <c r="AJ30" s="1"/>
    </row>
    <row r="31" spans="1:36" s="22" customFormat="1" x14ac:dyDescent="0.25">
      <c r="C31" s="23"/>
      <c r="E31" s="1"/>
      <c r="AH31" s="1"/>
      <c r="AI31" s="1"/>
      <c r="AJ31" s="1"/>
    </row>
    <row r="32" spans="1:36" s="22" customFormat="1" x14ac:dyDescent="0.25">
      <c r="C32" s="23"/>
      <c r="E32" s="1"/>
      <c r="AH32" s="1"/>
      <c r="AI32" s="1"/>
      <c r="AJ32" s="1"/>
    </row>
    <row r="33" spans="3:36" s="22" customFormat="1" x14ac:dyDescent="0.25">
      <c r="C33" s="23"/>
      <c r="E33" s="1"/>
      <c r="AH33" s="1"/>
      <c r="AI33" s="1"/>
      <c r="AJ33" s="1"/>
    </row>
    <row r="34" spans="3:36" s="22" customFormat="1" x14ac:dyDescent="0.25">
      <c r="C34" s="23"/>
      <c r="E34" s="1"/>
      <c r="AH34" s="1"/>
      <c r="AI34" s="1"/>
      <c r="AJ34" s="1"/>
    </row>
    <row r="35" spans="3:36" s="22" customFormat="1" x14ac:dyDescent="0.25">
      <c r="C35" s="23"/>
      <c r="E35" s="1"/>
      <c r="AH35" s="1"/>
      <c r="AI35" s="1"/>
      <c r="AJ35" s="1"/>
    </row>
    <row r="36" spans="3:36" s="22" customFormat="1" x14ac:dyDescent="0.25">
      <c r="C36" s="23"/>
      <c r="E36" s="1"/>
      <c r="AH36" s="1"/>
      <c r="AI36" s="1"/>
      <c r="AJ36" s="1"/>
    </row>
    <row r="37" spans="3:36" s="22" customFormat="1" x14ac:dyDescent="0.25">
      <c r="C37" s="23"/>
      <c r="E37" s="1"/>
      <c r="AH37" s="1"/>
      <c r="AI37" s="1"/>
      <c r="AJ37" s="1"/>
    </row>
  </sheetData>
  <mergeCells count="10">
    <mergeCell ref="A20:D21"/>
    <mergeCell ref="E20:E21"/>
    <mergeCell ref="F20:AH21"/>
    <mergeCell ref="A1:AH1"/>
    <mergeCell ref="A2:A3"/>
    <mergeCell ref="B2:B3"/>
    <mergeCell ref="C2:C3"/>
    <mergeCell ref="D2:D3"/>
    <mergeCell ref="A19:E19"/>
    <mergeCell ref="F19:AH19"/>
  </mergeCells>
  <phoneticPr fontId="3" type="noConversion"/>
  <printOptions horizontalCentered="1"/>
  <pageMargins left="0.23622047244094488" right="0.23622047244094488" top="0.74803149606299213" bottom="0" header="0.31496062992125984" footer="0.31496062992125984"/>
  <pageSetup paperSize="9" scale="78" fitToHeight="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L43"/>
  <sheetViews>
    <sheetView tabSelected="1" zoomScale="80" zoomScaleNormal="80" workbookViewId="0">
      <selection activeCell="AO2" sqref="AO2"/>
    </sheetView>
  </sheetViews>
  <sheetFormatPr defaultRowHeight="15.75" x14ac:dyDescent="0.25"/>
  <cols>
    <col min="1" max="1" width="9.25" style="22" customWidth="1"/>
    <col min="2" max="2" width="11.25" style="22" bestFit="1" customWidth="1"/>
    <col min="3" max="3" width="7.375" style="22" bestFit="1" customWidth="1"/>
    <col min="4" max="4" width="7.25" style="22" customWidth="1"/>
    <col min="5" max="5" width="47.375" style="1" bestFit="1" customWidth="1"/>
    <col min="6" max="7" width="6.75" style="22" customWidth="1"/>
    <col min="8" max="8" width="4.25" style="22" customWidth="1"/>
    <col min="9" max="11" width="5.5" style="22" customWidth="1"/>
    <col min="12" max="12" width="4.25" style="22" customWidth="1"/>
    <col min="13" max="13" width="8" style="22" customWidth="1"/>
    <col min="14" max="14" width="8" style="22" hidden="1" customWidth="1"/>
    <col min="15" max="15" width="4.25" style="22" hidden="1" customWidth="1"/>
    <col min="16" max="16" width="8.5" style="22" hidden="1" customWidth="1"/>
    <col min="17" max="18" width="5.5" style="22" hidden="1" customWidth="1"/>
    <col min="19" max="20" width="5.5" style="22" customWidth="1"/>
    <col min="21" max="21" width="5.5" style="22" bestFit="1" customWidth="1"/>
    <col min="22" max="22" width="5.5" style="22" hidden="1" customWidth="1"/>
    <col min="23" max="23" width="5.5" style="22" customWidth="1"/>
    <col min="24" max="24" width="6.75" style="22" hidden="1" customWidth="1"/>
    <col min="25" max="25" width="5.5" style="22" hidden="1" customWidth="1"/>
    <col min="26" max="26" width="3.375" style="22" hidden="1" customWidth="1"/>
    <col min="27" max="27" width="4.25" style="22" hidden="1" customWidth="1"/>
    <col min="28" max="30" width="5.5" style="22" hidden="1" customWidth="1"/>
    <col min="31" max="32" width="5.5" style="22" customWidth="1"/>
    <col min="33" max="33" width="6.75" style="22" hidden="1" customWidth="1"/>
    <col min="34" max="35" width="6.75" style="22" customWidth="1"/>
    <col min="36" max="36" width="12.75" style="1" customWidth="1"/>
    <col min="37" max="16384" width="9" style="1"/>
  </cols>
  <sheetData>
    <row r="1" spans="1:38" ht="28.5" x14ac:dyDescent="0.45">
      <c r="A1" s="33" t="s">
        <v>157</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row>
    <row r="2" spans="1:38" ht="198.75" customHeight="1" x14ac:dyDescent="0.25">
      <c r="A2" s="34" t="s">
        <v>0</v>
      </c>
      <c r="B2" s="36" t="s">
        <v>1</v>
      </c>
      <c r="C2" s="36" t="s">
        <v>2</v>
      </c>
      <c r="D2" s="36" t="s">
        <v>3</v>
      </c>
      <c r="E2" s="2" t="s">
        <v>4</v>
      </c>
      <c r="F2" s="24" t="s">
        <v>5</v>
      </c>
      <c r="G2" s="24" t="s">
        <v>6</v>
      </c>
      <c r="H2" s="24" t="s">
        <v>7</v>
      </c>
      <c r="I2" s="24" t="s">
        <v>8</v>
      </c>
      <c r="J2" s="24" t="s">
        <v>9</v>
      </c>
      <c r="K2" s="25" t="s">
        <v>10</v>
      </c>
      <c r="L2" s="24" t="s">
        <v>11</v>
      </c>
      <c r="M2" s="24" t="s">
        <v>12</v>
      </c>
      <c r="N2" s="24" t="s">
        <v>13</v>
      </c>
      <c r="O2" s="24" t="s">
        <v>14</v>
      </c>
      <c r="P2" s="24" t="s">
        <v>15</v>
      </c>
      <c r="Q2" s="24" t="s">
        <v>16</v>
      </c>
      <c r="R2" s="24" t="s">
        <v>17</v>
      </c>
      <c r="S2" s="24" t="s">
        <v>18</v>
      </c>
      <c r="T2" s="24" t="s">
        <v>19</v>
      </c>
      <c r="U2" s="24" t="s">
        <v>20</v>
      </c>
      <c r="V2" s="24" t="s">
        <v>21</v>
      </c>
      <c r="W2" s="24" t="s">
        <v>22</v>
      </c>
      <c r="X2" s="24" t="s">
        <v>23</v>
      </c>
      <c r="Y2" s="24" t="s">
        <v>115</v>
      </c>
      <c r="Z2" s="24" t="s">
        <v>25</v>
      </c>
      <c r="AA2" s="24" t="s">
        <v>26</v>
      </c>
      <c r="AB2" s="24" t="s">
        <v>27</v>
      </c>
      <c r="AC2" s="24" t="s">
        <v>28</v>
      </c>
      <c r="AD2" s="24" t="s">
        <v>29</v>
      </c>
      <c r="AE2" s="24" t="s">
        <v>63</v>
      </c>
      <c r="AF2" s="24" t="s">
        <v>128</v>
      </c>
      <c r="AG2" s="24" t="s">
        <v>149</v>
      </c>
      <c r="AH2" s="25" t="s">
        <v>184</v>
      </c>
      <c r="AI2" s="24" t="s">
        <v>178</v>
      </c>
      <c r="AJ2" s="5" t="s">
        <v>30</v>
      </c>
      <c r="AK2" s="6"/>
      <c r="AL2" s="6"/>
    </row>
    <row r="3" spans="1:38" ht="18" x14ac:dyDescent="0.35">
      <c r="A3" s="35"/>
      <c r="B3" s="37"/>
      <c r="C3" s="37"/>
      <c r="D3" s="37"/>
      <c r="E3" s="7" t="s">
        <v>31</v>
      </c>
      <c r="F3" s="8">
        <v>20.7</v>
      </c>
      <c r="G3" s="8">
        <v>15.5</v>
      </c>
      <c r="H3" s="8">
        <v>33</v>
      </c>
      <c r="I3" s="8">
        <v>8</v>
      </c>
      <c r="J3" s="8">
        <v>37</v>
      </c>
      <c r="K3" s="8">
        <v>5.5</v>
      </c>
      <c r="L3" s="8">
        <v>38</v>
      </c>
      <c r="M3" s="9">
        <v>50.93</v>
      </c>
      <c r="N3" s="9">
        <v>68.25</v>
      </c>
      <c r="O3" s="8">
        <v>85</v>
      </c>
      <c r="P3" s="10">
        <v>110.25</v>
      </c>
      <c r="Q3" s="8">
        <v>150</v>
      </c>
      <c r="R3" s="8">
        <v>240</v>
      </c>
      <c r="S3" s="8">
        <v>260</v>
      </c>
      <c r="T3" s="8">
        <v>280</v>
      </c>
      <c r="U3" s="8">
        <v>400</v>
      </c>
      <c r="V3" s="8">
        <v>800</v>
      </c>
      <c r="W3" s="8">
        <v>393</v>
      </c>
      <c r="X3" s="8">
        <v>1180</v>
      </c>
      <c r="Y3" s="8">
        <v>230</v>
      </c>
      <c r="Z3" s="8">
        <v>4</v>
      </c>
      <c r="AA3" s="8">
        <v>10</v>
      </c>
      <c r="AB3" s="8">
        <v>974</v>
      </c>
      <c r="AC3" s="8">
        <v>0</v>
      </c>
      <c r="AD3" s="8">
        <v>165</v>
      </c>
      <c r="AE3" s="8">
        <v>460</v>
      </c>
      <c r="AF3" s="8">
        <v>980</v>
      </c>
      <c r="AG3" s="8">
        <v>3000</v>
      </c>
      <c r="AH3" s="8">
        <v>470</v>
      </c>
      <c r="AI3" s="8">
        <v>960</v>
      </c>
      <c r="AJ3" s="11" t="s">
        <v>32</v>
      </c>
    </row>
    <row r="4" spans="1:38" ht="18.75" x14ac:dyDescent="0.3">
      <c r="A4" s="13">
        <v>1000</v>
      </c>
      <c r="B4" s="12" t="s">
        <v>166</v>
      </c>
      <c r="C4" s="13" t="s">
        <v>133</v>
      </c>
      <c r="D4" s="13">
        <v>8105</v>
      </c>
      <c r="E4" s="12" t="s">
        <v>143</v>
      </c>
      <c r="F4" s="14"/>
      <c r="G4" s="14"/>
      <c r="H4" s="14"/>
      <c r="I4" s="14"/>
      <c r="J4" s="14"/>
      <c r="K4" s="14"/>
      <c r="L4" s="14"/>
      <c r="M4" s="14"/>
      <c r="N4" s="14"/>
      <c r="O4" s="14"/>
      <c r="P4" s="14"/>
      <c r="Q4" s="15"/>
      <c r="R4" s="15"/>
      <c r="S4" s="15"/>
      <c r="T4" s="15"/>
      <c r="U4" s="15"/>
      <c r="V4" s="15"/>
      <c r="W4" s="15"/>
      <c r="X4" s="15"/>
      <c r="Y4" s="15"/>
      <c r="Z4" s="15"/>
      <c r="AA4" s="15"/>
      <c r="AB4" s="15"/>
      <c r="AC4" s="15"/>
      <c r="AD4" s="15"/>
      <c r="AE4" s="15"/>
      <c r="AF4" s="15">
        <v>1</v>
      </c>
      <c r="AG4" s="15"/>
      <c r="AH4" s="15"/>
      <c r="AI4" s="15"/>
      <c r="AJ4" s="17">
        <f>$F$3*F4+$G$3*G4+$H$3*H4+$I$3*I4++$J$3*J4+$K$3*K4+$L$3*L4+$M$3*M4+$N$3*N4+$O$3*O4+$P$3*P4+$Q$3*Q4+$R$3*R4+$S$3*S4+$T$3*T4+$U$3*U4+$V$3*V4+$W$3*W4+$X$3*X4+$Y$3*Y4+$Z$3*Z4+$AA$3*AA4+$AB$3*AB4+$AD$3*AD4+$AE$3*AE4+$AF$3*AF4+$AG$3*AG4+$AH$3*AH4+AI$3*AI4</f>
        <v>980</v>
      </c>
    </row>
    <row r="5" spans="1:38" ht="18.75" x14ac:dyDescent="0.3">
      <c r="A5" s="13">
        <v>8100</v>
      </c>
      <c r="B5" s="12" t="s">
        <v>33</v>
      </c>
      <c r="C5" s="13" t="s">
        <v>94</v>
      </c>
      <c r="D5" s="19">
        <v>8605</v>
      </c>
      <c r="E5" s="12" t="s">
        <v>141</v>
      </c>
      <c r="F5" s="21"/>
      <c r="G5" s="14"/>
      <c r="H5" s="14"/>
      <c r="I5" s="14"/>
      <c r="J5" s="14"/>
      <c r="K5" s="14"/>
      <c r="L5" s="14"/>
      <c r="M5" s="14"/>
      <c r="N5" s="14"/>
      <c r="O5" s="14"/>
      <c r="P5" s="14"/>
      <c r="Q5" s="15"/>
      <c r="R5" s="15"/>
      <c r="S5" s="15">
        <v>2</v>
      </c>
      <c r="T5" s="15"/>
      <c r="U5" s="15"/>
      <c r="V5" s="15"/>
      <c r="W5" s="15"/>
      <c r="X5" s="15"/>
      <c r="Y5" s="15"/>
      <c r="Z5" s="15"/>
      <c r="AA5" s="15"/>
      <c r="AB5" s="15"/>
      <c r="AC5" s="15"/>
      <c r="AD5" s="15"/>
      <c r="AE5" s="15"/>
      <c r="AF5" s="15"/>
      <c r="AG5" s="15"/>
      <c r="AH5" s="15"/>
      <c r="AI5" s="15"/>
      <c r="AJ5" s="17">
        <f t="shared" ref="AJ5:AJ24" si="0">$F$3*F5+$G$3*G5+$H$3*H5+$I$3*I5++$J$3*J5+$K$3*K5+$L$3*L5+$M$3*M5+$N$3*N5+$O$3*O5+$P$3*P5+$Q$3*Q5+$R$3*R5+$S$3*S5+$T$3*T5+$U$3*U5+$V$3*V5+$W$3*W5+$X$3*X5+$Y$3*Y5+$Z$3*Z5+$AA$3*AA5+$AB$3*AB5+$AD$3*AD5+$AE$3*AE5+$AF$3*AF5+$AG$3*AG5+$AH$3*AH5+AI$3*AI5</f>
        <v>520</v>
      </c>
    </row>
    <row r="6" spans="1:38" ht="18.75" x14ac:dyDescent="0.3">
      <c r="A6" s="19" t="s">
        <v>173</v>
      </c>
      <c r="B6" s="18" t="s">
        <v>167</v>
      </c>
      <c r="C6" s="19" t="s">
        <v>158</v>
      </c>
      <c r="D6" s="13">
        <v>1762</v>
      </c>
      <c r="E6" s="18" t="s">
        <v>174</v>
      </c>
      <c r="F6" s="20"/>
      <c r="G6" s="14"/>
      <c r="H6" s="14"/>
      <c r="I6" s="14">
        <v>100</v>
      </c>
      <c r="J6" s="14">
        <v>50</v>
      </c>
      <c r="K6" s="14"/>
      <c r="L6" s="14"/>
      <c r="M6" s="14"/>
      <c r="N6" s="14"/>
      <c r="O6" s="14"/>
      <c r="P6" s="14"/>
      <c r="Q6" s="15"/>
      <c r="R6" s="15"/>
      <c r="S6" s="15"/>
      <c r="T6" s="15"/>
      <c r="U6" s="15"/>
      <c r="V6" s="15"/>
      <c r="W6" s="15"/>
      <c r="X6" s="15"/>
      <c r="Y6" s="15"/>
      <c r="Z6" s="15"/>
      <c r="AA6" s="15"/>
      <c r="AB6" s="15"/>
      <c r="AC6" s="15"/>
      <c r="AD6" s="15"/>
      <c r="AE6" s="15"/>
      <c r="AF6" s="15"/>
      <c r="AG6" s="15"/>
      <c r="AH6" s="15"/>
      <c r="AI6" s="15"/>
      <c r="AJ6" s="17">
        <f t="shared" si="0"/>
        <v>2650</v>
      </c>
    </row>
    <row r="7" spans="1:38" ht="18.75" x14ac:dyDescent="0.3">
      <c r="A7" s="13" t="s">
        <v>175</v>
      </c>
      <c r="B7" s="12" t="s">
        <v>168</v>
      </c>
      <c r="C7" s="13" t="s">
        <v>159</v>
      </c>
      <c r="D7" s="13">
        <v>8700</v>
      </c>
      <c r="E7" s="12" t="s">
        <v>176</v>
      </c>
      <c r="F7" s="21">
        <v>1</v>
      </c>
      <c r="G7" s="14"/>
      <c r="H7" s="14"/>
      <c r="I7" s="14"/>
      <c r="J7" s="14"/>
      <c r="K7" s="14"/>
      <c r="L7" s="14"/>
      <c r="M7" s="14"/>
      <c r="N7" s="14"/>
      <c r="O7" s="14"/>
      <c r="P7" s="14"/>
      <c r="Q7" s="15"/>
      <c r="R7" s="15"/>
      <c r="S7" s="15"/>
      <c r="T7" s="15"/>
      <c r="U7" s="15"/>
      <c r="V7" s="15"/>
      <c r="W7" s="15"/>
      <c r="X7" s="15"/>
      <c r="Y7" s="15"/>
      <c r="Z7" s="15"/>
      <c r="AA7" s="15"/>
      <c r="AB7" s="15"/>
      <c r="AC7" s="15"/>
      <c r="AD7" s="15"/>
      <c r="AE7" s="15">
        <v>1</v>
      </c>
      <c r="AF7" s="15"/>
      <c r="AG7" s="15"/>
      <c r="AH7" s="15"/>
      <c r="AI7" s="15"/>
      <c r="AJ7" s="17">
        <f t="shared" si="0"/>
        <v>480.7</v>
      </c>
    </row>
    <row r="8" spans="1:38" ht="18.75" x14ac:dyDescent="0.3">
      <c r="A8" s="13" t="s">
        <v>117</v>
      </c>
      <c r="B8" s="12" t="s">
        <v>106</v>
      </c>
      <c r="C8" s="13" t="s">
        <v>98</v>
      </c>
      <c r="D8" s="19">
        <v>7205</v>
      </c>
      <c r="E8" s="12" t="s">
        <v>177</v>
      </c>
      <c r="F8" s="21"/>
      <c r="G8" s="14"/>
      <c r="H8" s="14"/>
      <c r="I8" s="14"/>
      <c r="J8" s="14"/>
      <c r="K8" s="14"/>
      <c r="L8" s="14"/>
      <c r="M8" s="14"/>
      <c r="N8" s="14"/>
      <c r="O8" s="14"/>
      <c r="P8" s="14"/>
      <c r="Q8" s="15"/>
      <c r="R8" s="15"/>
      <c r="S8" s="15"/>
      <c r="T8" s="15"/>
      <c r="U8" s="15"/>
      <c r="V8" s="15"/>
      <c r="W8" s="15"/>
      <c r="X8" s="15"/>
      <c r="Y8" s="15"/>
      <c r="Z8" s="15"/>
      <c r="AA8" s="15"/>
      <c r="AB8" s="15"/>
      <c r="AC8" s="15"/>
      <c r="AD8" s="15"/>
      <c r="AE8" s="15"/>
      <c r="AF8" s="15"/>
      <c r="AG8" s="15"/>
      <c r="AH8" s="15"/>
      <c r="AI8" s="15">
        <v>1</v>
      </c>
      <c r="AJ8" s="17">
        <f t="shared" si="0"/>
        <v>960</v>
      </c>
    </row>
    <row r="9" spans="1:38" ht="18.75" x14ac:dyDescent="0.3">
      <c r="A9" s="13" t="s">
        <v>175</v>
      </c>
      <c r="B9" s="12" t="s">
        <v>168</v>
      </c>
      <c r="C9" s="13" t="s">
        <v>159</v>
      </c>
      <c r="D9" s="13">
        <v>8700</v>
      </c>
      <c r="E9" s="12" t="s">
        <v>179</v>
      </c>
      <c r="F9" s="21"/>
      <c r="G9" s="14"/>
      <c r="H9" s="14"/>
      <c r="I9" s="14"/>
      <c r="J9" s="14"/>
      <c r="K9" s="14"/>
      <c r="L9" s="14"/>
      <c r="M9" s="14"/>
      <c r="N9" s="14"/>
      <c r="O9" s="14"/>
      <c r="P9" s="14"/>
      <c r="Q9" s="15"/>
      <c r="R9" s="15"/>
      <c r="S9" s="15"/>
      <c r="T9" s="15"/>
      <c r="U9" s="15"/>
      <c r="V9" s="15"/>
      <c r="W9" s="15"/>
      <c r="X9" s="15"/>
      <c r="Y9" s="15"/>
      <c r="Z9" s="15"/>
      <c r="AA9" s="15"/>
      <c r="AB9" s="15"/>
      <c r="AC9" s="15"/>
      <c r="AD9" s="15"/>
      <c r="AE9" s="15">
        <v>3</v>
      </c>
      <c r="AF9" s="15"/>
      <c r="AG9" s="15"/>
      <c r="AH9" s="15"/>
      <c r="AI9" s="15"/>
      <c r="AJ9" s="17">
        <f t="shared" si="0"/>
        <v>1380</v>
      </c>
    </row>
    <row r="10" spans="1:38" ht="18.75" x14ac:dyDescent="0.3">
      <c r="A10" s="13" t="s">
        <v>175</v>
      </c>
      <c r="B10" s="12" t="s">
        <v>168</v>
      </c>
      <c r="C10" s="13" t="s">
        <v>159</v>
      </c>
      <c r="D10" s="13">
        <v>8700</v>
      </c>
      <c r="E10" s="12" t="s">
        <v>179</v>
      </c>
      <c r="F10" s="21"/>
      <c r="G10" s="14"/>
      <c r="H10" s="14">
        <v>1</v>
      </c>
      <c r="I10" s="14"/>
      <c r="J10" s="14"/>
      <c r="K10" s="14"/>
      <c r="L10" s="14"/>
      <c r="M10" s="14"/>
      <c r="N10" s="14"/>
      <c r="O10" s="14"/>
      <c r="P10" s="14"/>
      <c r="Q10" s="15"/>
      <c r="R10" s="15"/>
      <c r="S10" s="15"/>
      <c r="T10" s="15"/>
      <c r="U10" s="15"/>
      <c r="V10" s="15"/>
      <c r="W10" s="15"/>
      <c r="X10" s="15"/>
      <c r="Y10" s="15"/>
      <c r="Z10" s="15"/>
      <c r="AA10" s="15"/>
      <c r="AB10" s="15"/>
      <c r="AC10" s="15"/>
      <c r="AD10" s="15"/>
      <c r="AE10" s="15"/>
      <c r="AF10" s="15"/>
      <c r="AG10" s="15"/>
      <c r="AH10" s="15"/>
      <c r="AI10" s="15"/>
      <c r="AJ10" s="17">
        <f t="shared" si="0"/>
        <v>33</v>
      </c>
    </row>
    <row r="11" spans="1:38" ht="18.75" x14ac:dyDescent="0.3">
      <c r="A11" s="19" t="s">
        <v>180</v>
      </c>
      <c r="B11" s="12" t="s">
        <v>169</v>
      </c>
      <c r="C11" s="13" t="s">
        <v>160</v>
      </c>
      <c r="D11" s="28" t="s">
        <v>181</v>
      </c>
      <c r="E11" s="12" t="s">
        <v>182</v>
      </c>
      <c r="F11" s="21"/>
      <c r="G11" s="14"/>
      <c r="H11" s="14"/>
      <c r="I11" s="14"/>
      <c r="J11" s="14"/>
      <c r="K11" s="14"/>
      <c r="L11" s="14"/>
      <c r="M11" s="14"/>
      <c r="N11" s="14"/>
      <c r="O11" s="14"/>
      <c r="P11" s="14"/>
      <c r="Q11" s="15"/>
      <c r="R11" s="15"/>
      <c r="S11" s="15"/>
      <c r="T11" s="15"/>
      <c r="U11" s="15"/>
      <c r="V11" s="15"/>
      <c r="W11" s="15"/>
      <c r="X11" s="15"/>
      <c r="Y11" s="15"/>
      <c r="Z11" s="15"/>
      <c r="AA11" s="15"/>
      <c r="AB11" s="15"/>
      <c r="AC11" s="15"/>
      <c r="AD11" s="15"/>
      <c r="AE11" s="15"/>
      <c r="AF11" s="15">
        <v>1</v>
      </c>
      <c r="AG11" s="15"/>
      <c r="AH11" s="15"/>
      <c r="AI11" s="15"/>
      <c r="AJ11" s="17">
        <f t="shared" si="0"/>
        <v>980</v>
      </c>
    </row>
    <row r="12" spans="1:38" ht="18.75" x14ac:dyDescent="0.3">
      <c r="A12" s="19">
        <v>8100</v>
      </c>
      <c r="B12" s="12" t="s">
        <v>142</v>
      </c>
      <c r="C12" s="13" t="s">
        <v>136</v>
      </c>
      <c r="D12" s="19">
        <v>8621</v>
      </c>
      <c r="E12" s="12" t="s">
        <v>183</v>
      </c>
      <c r="F12" s="21"/>
      <c r="G12" s="14"/>
      <c r="H12" s="14"/>
      <c r="I12" s="14"/>
      <c r="J12" s="14"/>
      <c r="K12" s="14"/>
      <c r="L12" s="14"/>
      <c r="M12" s="14"/>
      <c r="N12" s="14"/>
      <c r="O12" s="14"/>
      <c r="P12" s="14"/>
      <c r="Q12" s="15"/>
      <c r="R12" s="15"/>
      <c r="S12" s="15"/>
      <c r="T12" s="15"/>
      <c r="U12" s="15"/>
      <c r="V12" s="15"/>
      <c r="W12" s="15"/>
      <c r="X12" s="15"/>
      <c r="Y12" s="15"/>
      <c r="Z12" s="15"/>
      <c r="AA12" s="15"/>
      <c r="AB12" s="15"/>
      <c r="AC12" s="15"/>
      <c r="AD12" s="15"/>
      <c r="AE12" s="15"/>
      <c r="AF12" s="15"/>
      <c r="AG12" s="15"/>
      <c r="AH12" s="15">
        <v>2</v>
      </c>
      <c r="AI12" s="15"/>
      <c r="AJ12" s="17">
        <f t="shared" si="0"/>
        <v>940</v>
      </c>
    </row>
    <row r="13" spans="1:38" ht="18.75" x14ac:dyDescent="0.3">
      <c r="A13" s="19">
        <v>8100</v>
      </c>
      <c r="B13" s="12" t="s">
        <v>33</v>
      </c>
      <c r="C13" s="13" t="s">
        <v>94</v>
      </c>
      <c r="D13" s="13">
        <v>8605</v>
      </c>
      <c r="E13" s="12" t="s">
        <v>185</v>
      </c>
      <c r="F13" s="21"/>
      <c r="G13" s="14"/>
      <c r="H13" s="14"/>
      <c r="I13" s="14"/>
      <c r="J13" s="14"/>
      <c r="K13" s="14"/>
      <c r="L13" s="14"/>
      <c r="M13" s="14"/>
      <c r="N13" s="14"/>
      <c r="O13" s="14"/>
      <c r="P13" s="14"/>
      <c r="Q13" s="15"/>
      <c r="R13" s="15"/>
      <c r="S13" s="15"/>
      <c r="T13" s="15"/>
      <c r="U13" s="15"/>
      <c r="V13" s="15"/>
      <c r="W13" s="15"/>
      <c r="X13" s="15"/>
      <c r="Y13" s="15"/>
      <c r="Z13" s="15"/>
      <c r="AA13" s="15"/>
      <c r="AB13" s="15"/>
      <c r="AC13" s="15"/>
      <c r="AD13" s="15"/>
      <c r="AE13" s="15"/>
      <c r="AF13" s="15">
        <v>1</v>
      </c>
      <c r="AG13" s="15"/>
      <c r="AH13" s="15"/>
      <c r="AI13" s="15"/>
      <c r="AJ13" s="17">
        <f t="shared" si="0"/>
        <v>980</v>
      </c>
    </row>
    <row r="14" spans="1:38" ht="18.75" x14ac:dyDescent="0.3">
      <c r="A14" s="19">
        <v>8100</v>
      </c>
      <c r="B14" s="12" t="s">
        <v>142</v>
      </c>
      <c r="C14" s="13" t="s">
        <v>136</v>
      </c>
      <c r="D14" s="19">
        <v>8621</v>
      </c>
      <c r="E14" s="12" t="s">
        <v>186</v>
      </c>
      <c r="F14" s="21"/>
      <c r="G14" s="14"/>
      <c r="H14" s="14"/>
      <c r="I14" s="14"/>
      <c r="J14" s="14"/>
      <c r="K14" s="14"/>
      <c r="L14" s="14"/>
      <c r="M14" s="14"/>
      <c r="N14" s="14"/>
      <c r="O14" s="14"/>
      <c r="P14" s="14"/>
      <c r="Q14" s="15"/>
      <c r="R14" s="15"/>
      <c r="S14" s="15"/>
      <c r="T14" s="15"/>
      <c r="U14" s="15"/>
      <c r="V14" s="15"/>
      <c r="W14" s="15"/>
      <c r="X14" s="15"/>
      <c r="Y14" s="15"/>
      <c r="Z14" s="15"/>
      <c r="AA14" s="15"/>
      <c r="AB14" s="15"/>
      <c r="AC14" s="15"/>
      <c r="AD14" s="15"/>
      <c r="AE14" s="15"/>
      <c r="AF14" s="15"/>
      <c r="AG14" s="15"/>
      <c r="AH14" s="15"/>
      <c r="AI14" s="15">
        <v>3</v>
      </c>
      <c r="AJ14" s="17">
        <f t="shared" si="0"/>
        <v>2880</v>
      </c>
    </row>
    <row r="15" spans="1:38" ht="18.75" x14ac:dyDescent="0.3">
      <c r="A15" s="19">
        <v>8100</v>
      </c>
      <c r="B15" s="12" t="s">
        <v>33</v>
      </c>
      <c r="C15" s="13" t="s">
        <v>94</v>
      </c>
      <c r="D15" s="13">
        <v>8605</v>
      </c>
      <c r="E15" s="18" t="s">
        <v>187</v>
      </c>
      <c r="F15" s="14"/>
      <c r="G15" s="14"/>
      <c r="H15" s="14"/>
      <c r="I15" s="14"/>
      <c r="J15" s="14"/>
      <c r="K15" s="14"/>
      <c r="L15" s="14"/>
      <c r="M15" s="14"/>
      <c r="N15" s="14"/>
      <c r="O15" s="14"/>
      <c r="P15" s="14"/>
      <c r="Q15" s="15"/>
      <c r="R15" s="15"/>
      <c r="S15" s="15"/>
      <c r="T15" s="15"/>
      <c r="U15" s="15"/>
      <c r="V15" s="15"/>
      <c r="W15" s="15"/>
      <c r="X15" s="15"/>
      <c r="Y15" s="15"/>
      <c r="Z15" s="15"/>
      <c r="AA15" s="15"/>
      <c r="AB15" s="15"/>
      <c r="AC15" s="15"/>
      <c r="AD15" s="15"/>
      <c r="AE15" s="15"/>
      <c r="AF15" s="15"/>
      <c r="AG15" s="15"/>
      <c r="AH15" s="15"/>
      <c r="AI15" s="15">
        <v>3</v>
      </c>
      <c r="AJ15" s="17">
        <f t="shared" si="0"/>
        <v>2880</v>
      </c>
    </row>
    <row r="16" spans="1:38" ht="18.75" x14ac:dyDescent="0.3">
      <c r="A16" s="19" t="s">
        <v>188</v>
      </c>
      <c r="B16" s="18" t="s">
        <v>35</v>
      </c>
      <c r="C16" s="19" t="s">
        <v>161</v>
      </c>
      <c r="D16" s="19">
        <v>1738</v>
      </c>
      <c r="E16" s="18" t="s">
        <v>189</v>
      </c>
      <c r="F16" s="14"/>
      <c r="G16" s="14"/>
      <c r="H16" s="14"/>
      <c r="I16" s="14"/>
      <c r="J16" s="14"/>
      <c r="K16" s="14"/>
      <c r="L16" s="14"/>
      <c r="M16" s="14"/>
      <c r="N16" s="14"/>
      <c r="O16" s="14"/>
      <c r="P16" s="14"/>
      <c r="Q16" s="15"/>
      <c r="R16" s="15"/>
      <c r="S16" s="15"/>
      <c r="T16" s="15"/>
      <c r="U16" s="15"/>
      <c r="V16" s="15"/>
      <c r="W16" s="15"/>
      <c r="X16" s="15"/>
      <c r="Y16" s="15"/>
      <c r="Z16" s="15"/>
      <c r="AA16" s="15"/>
      <c r="AB16" s="15"/>
      <c r="AC16" s="15"/>
      <c r="AD16" s="15"/>
      <c r="AE16" s="15"/>
      <c r="AF16" s="15">
        <v>1</v>
      </c>
      <c r="AG16" s="15"/>
      <c r="AH16" s="15"/>
      <c r="AI16" s="15"/>
      <c r="AJ16" s="17">
        <f t="shared" si="0"/>
        <v>980</v>
      </c>
    </row>
    <row r="17" spans="1:36" ht="18.75" x14ac:dyDescent="0.3">
      <c r="A17" s="19" t="s">
        <v>188</v>
      </c>
      <c r="B17" s="18" t="s">
        <v>35</v>
      </c>
      <c r="C17" s="19" t="s">
        <v>36</v>
      </c>
      <c r="D17" s="19">
        <v>2345</v>
      </c>
      <c r="E17" s="18" t="s">
        <v>190</v>
      </c>
      <c r="F17" s="14"/>
      <c r="G17" s="14"/>
      <c r="H17" s="14"/>
      <c r="I17" s="14"/>
      <c r="J17" s="14"/>
      <c r="K17" s="14"/>
      <c r="L17" s="14">
        <v>35</v>
      </c>
      <c r="M17" s="14"/>
      <c r="N17" s="14"/>
      <c r="O17" s="14"/>
      <c r="P17" s="14"/>
      <c r="Q17" s="15"/>
      <c r="R17" s="15"/>
      <c r="S17" s="15"/>
      <c r="T17" s="15"/>
      <c r="U17" s="15"/>
      <c r="V17" s="15"/>
      <c r="W17" s="15"/>
      <c r="X17" s="15"/>
      <c r="Y17" s="15"/>
      <c r="Z17" s="15"/>
      <c r="AA17" s="15"/>
      <c r="AB17" s="15"/>
      <c r="AC17" s="15"/>
      <c r="AD17" s="15"/>
      <c r="AE17" s="15"/>
      <c r="AF17" s="15"/>
      <c r="AG17" s="15"/>
      <c r="AH17" s="15"/>
      <c r="AI17" s="15"/>
      <c r="AJ17" s="17">
        <f>$F$3*F17+$G$3*G17+$H$3*H17+$I$3*I17++$J$3*J17+$K$3*K17+$L$3*L17+$M$3*M17+$N$3*N17+$O$3*O17+$P$3*P17+$Q$3*Q17+$R$3*R17+$S$3*S17+$T$3*T17+$U$3*U17+$V$3*V17+$W$3*W17+$X$3*X17+$Y$3*Y17+$Z$3*Z17+$AA$3*AA17+$AB$3*AB17+$AD$3*AD17+$AE$3*AE17+$AF$3*AF17+$AG$3*AG17+$AH$3*AH17+AI$3*AI17</f>
        <v>1330</v>
      </c>
    </row>
    <row r="18" spans="1:36" ht="18.75" x14ac:dyDescent="0.3">
      <c r="A18" s="19" t="s">
        <v>119</v>
      </c>
      <c r="B18" s="18" t="s">
        <v>70</v>
      </c>
      <c r="C18" s="19" t="s">
        <v>162</v>
      </c>
      <c r="D18" s="19">
        <v>7216</v>
      </c>
      <c r="E18" s="18" t="s">
        <v>191</v>
      </c>
      <c r="F18" s="14"/>
      <c r="G18" s="14"/>
      <c r="H18" s="14"/>
      <c r="I18" s="14"/>
      <c r="J18" s="14"/>
      <c r="K18" s="14"/>
      <c r="L18" s="14"/>
      <c r="M18" s="14"/>
      <c r="N18" s="14"/>
      <c r="O18" s="14"/>
      <c r="P18" s="14"/>
      <c r="Q18" s="15"/>
      <c r="R18" s="15"/>
      <c r="S18" s="15"/>
      <c r="T18" s="15">
        <v>8</v>
      </c>
      <c r="U18" s="15"/>
      <c r="V18" s="15"/>
      <c r="W18" s="15"/>
      <c r="X18" s="15"/>
      <c r="Y18" s="15"/>
      <c r="Z18" s="15"/>
      <c r="AA18" s="15"/>
      <c r="AB18" s="15"/>
      <c r="AC18" s="15"/>
      <c r="AD18" s="15"/>
      <c r="AE18" s="15"/>
      <c r="AF18" s="15"/>
      <c r="AG18" s="15"/>
      <c r="AH18" s="15"/>
      <c r="AI18" s="15"/>
      <c r="AJ18" s="17">
        <f t="shared" si="0"/>
        <v>2240</v>
      </c>
    </row>
    <row r="19" spans="1:36" ht="18.75" x14ac:dyDescent="0.3">
      <c r="A19" s="19">
        <v>8100</v>
      </c>
      <c r="B19" s="12" t="s">
        <v>33</v>
      </c>
      <c r="C19" s="13" t="s">
        <v>94</v>
      </c>
      <c r="D19" s="13">
        <v>8605</v>
      </c>
      <c r="E19" s="18" t="s">
        <v>192</v>
      </c>
      <c r="F19" s="14"/>
      <c r="G19" s="14"/>
      <c r="H19" s="14"/>
      <c r="I19" s="14"/>
      <c r="J19" s="14"/>
      <c r="K19" s="14">
        <v>100</v>
      </c>
      <c r="L19" s="14"/>
      <c r="M19" s="14"/>
      <c r="N19" s="14"/>
      <c r="O19" s="14"/>
      <c r="P19" s="14"/>
      <c r="Q19" s="15"/>
      <c r="R19" s="15"/>
      <c r="S19" s="15"/>
      <c r="T19" s="15"/>
      <c r="U19" s="15"/>
      <c r="V19" s="15"/>
      <c r="W19" s="15"/>
      <c r="X19" s="15"/>
      <c r="Y19" s="15"/>
      <c r="Z19" s="15"/>
      <c r="AA19" s="15"/>
      <c r="AB19" s="15"/>
      <c r="AC19" s="15"/>
      <c r="AD19" s="15"/>
      <c r="AE19" s="15"/>
      <c r="AF19" s="15"/>
      <c r="AG19" s="15"/>
      <c r="AH19" s="15"/>
      <c r="AI19" s="15"/>
      <c r="AJ19" s="17">
        <f t="shared" si="0"/>
        <v>550</v>
      </c>
    </row>
    <row r="20" spans="1:36" ht="18.75" x14ac:dyDescent="0.3">
      <c r="A20" s="19" t="s">
        <v>193</v>
      </c>
      <c r="B20" s="18" t="s">
        <v>170</v>
      </c>
      <c r="C20" s="19" t="s">
        <v>163</v>
      </c>
      <c r="D20" s="29">
        <v>8302</v>
      </c>
      <c r="E20" s="18" t="s">
        <v>194</v>
      </c>
      <c r="F20" s="14"/>
      <c r="G20" s="14">
        <v>1</v>
      </c>
      <c r="H20" s="14"/>
      <c r="I20" s="14"/>
      <c r="J20" s="14"/>
      <c r="K20" s="14"/>
      <c r="L20" s="14"/>
      <c r="M20" s="14"/>
      <c r="N20" s="14"/>
      <c r="O20" s="14"/>
      <c r="P20" s="14"/>
      <c r="Q20" s="15"/>
      <c r="R20" s="15"/>
      <c r="S20" s="15"/>
      <c r="T20" s="15">
        <v>1</v>
      </c>
      <c r="U20" s="15">
        <v>1</v>
      </c>
      <c r="V20" s="15"/>
      <c r="W20" s="15"/>
      <c r="X20" s="15"/>
      <c r="Y20" s="15"/>
      <c r="Z20" s="15"/>
      <c r="AA20" s="15"/>
      <c r="AB20" s="15"/>
      <c r="AC20" s="15"/>
      <c r="AD20" s="15"/>
      <c r="AE20" s="15"/>
      <c r="AF20" s="15"/>
      <c r="AG20" s="15"/>
      <c r="AH20" s="15"/>
      <c r="AI20" s="15"/>
      <c r="AJ20" s="17">
        <f t="shared" si="0"/>
        <v>695.5</v>
      </c>
    </row>
    <row r="21" spans="1:36" ht="18.75" x14ac:dyDescent="0.3">
      <c r="A21" s="19" t="s">
        <v>145</v>
      </c>
      <c r="B21" s="18" t="s">
        <v>86</v>
      </c>
      <c r="C21" s="19" t="s">
        <v>87</v>
      </c>
      <c r="D21" s="19">
        <v>8516</v>
      </c>
      <c r="E21" s="18" t="s">
        <v>195</v>
      </c>
      <c r="F21" s="14"/>
      <c r="G21" s="14"/>
      <c r="H21" s="14"/>
      <c r="I21" s="14"/>
      <c r="J21" s="14"/>
      <c r="K21" s="14"/>
      <c r="L21" s="14"/>
      <c r="M21" s="14"/>
      <c r="N21" s="14"/>
      <c r="O21" s="14"/>
      <c r="P21" s="14"/>
      <c r="Q21" s="15"/>
      <c r="R21" s="15"/>
      <c r="S21" s="15"/>
      <c r="T21" s="15"/>
      <c r="U21" s="15">
        <v>5</v>
      </c>
      <c r="V21" s="15"/>
      <c r="W21" s="15"/>
      <c r="X21" s="15"/>
      <c r="Y21" s="15"/>
      <c r="Z21" s="15"/>
      <c r="AA21" s="15"/>
      <c r="AB21" s="15"/>
      <c r="AC21" s="15"/>
      <c r="AD21" s="15"/>
      <c r="AE21" s="15"/>
      <c r="AF21" s="15"/>
      <c r="AG21" s="15"/>
      <c r="AH21" s="15"/>
      <c r="AI21" s="15"/>
      <c r="AJ21" s="17">
        <f t="shared" si="0"/>
        <v>2000</v>
      </c>
    </row>
    <row r="22" spans="1:36" ht="18.75" x14ac:dyDescent="0.3">
      <c r="A22" s="13" t="s">
        <v>196</v>
      </c>
      <c r="B22" s="12" t="s">
        <v>171</v>
      </c>
      <c r="C22" s="13" t="s">
        <v>164</v>
      </c>
      <c r="D22" s="13">
        <v>8501</v>
      </c>
      <c r="E22" s="27" t="s">
        <v>197</v>
      </c>
      <c r="F22" s="14"/>
      <c r="G22" s="14"/>
      <c r="H22" s="14">
        <v>10</v>
      </c>
      <c r="I22" s="14">
        <v>247</v>
      </c>
      <c r="J22" s="14"/>
      <c r="K22" s="14">
        <v>100</v>
      </c>
      <c r="L22" s="14"/>
      <c r="M22" s="14">
        <v>178</v>
      </c>
      <c r="N22" s="14"/>
      <c r="O22" s="14"/>
      <c r="P22" s="14"/>
      <c r="Q22" s="15"/>
      <c r="R22" s="15"/>
      <c r="S22" s="15"/>
      <c r="T22" s="15"/>
      <c r="U22" s="15"/>
      <c r="V22" s="15"/>
      <c r="W22" s="15"/>
      <c r="X22" s="15"/>
      <c r="Y22" s="15"/>
      <c r="Z22" s="15"/>
      <c r="AA22" s="15"/>
      <c r="AB22" s="15"/>
      <c r="AC22" s="15"/>
      <c r="AD22" s="15"/>
      <c r="AE22" s="15"/>
      <c r="AF22" s="15"/>
      <c r="AG22" s="15"/>
      <c r="AH22" s="15"/>
      <c r="AI22" s="15"/>
      <c r="AJ22" s="17">
        <f t="shared" si="0"/>
        <v>11921.539999999999</v>
      </c>
    </row>
    <row r="23" spans="1:36" ht="18.75" x14ac:dyDescent="0.3">
      <c r="A23" s="19" t="s">
        <v>198</v>
      </c>
      <c r="B23" s="18" t="s">
        <v>172</v>
      </c>
      <c r="C23" s="19" t="s">
        <v>165</v>
      </c>
      <c r="D23" s="19">
        <v>8819</v>
      </c>
      <c r="E23" s="18" t="s">
        <v>199</v>
      </c>
      <c r="F23" s="14"/>
      <c r="G23" s="14"/>
      <c r="H23" s="14"/>
      <c r="I23" s="14"/>
      <c r="J23" s="14"/>
      <c r="K23" s="14"/>
      <c r="L23" s="14"/>
      <c r="M23" s="14"/>
      <c r="N23" s="14"/>
      <c r="O23" s="14"/>
      <c r="P23" s="14"/>
      <c r="Q23" s="15"/>
      <c r="R23" s="15"/>
      <c r="S23" s="15"/>
      <c r="T23" s="15"/>
      <c r="U23" s="15"/>
      <c r="V23" s="15"/>
      <c r="W23" s="15">
        <v>4</v>
      </c>
      <c r="X23" s="15"/>
      <c r="Y23" s="15"/>
      <c r="Z23" s="15"/>
      <c r="AA23" s="15"/>
      <c r="AB23" s="15"/>
      <c r="AC23" s="15"/>
      <c r="AD23" s="15"/>
      <c r="AE23" s="15"/>
      <c r="AF23" s="15"/>
      <c r="AG23" s="15"/>
      <c r="AH23" s="15"/>
      <c r="AI23" s="15"/>
      <c r="AJ23" s="17">
        <f t="shared" si="0"/>
        <v>1572</v>
      </c>
    </row>
    <row r="24" spans="1:36" ht="18.75" x14ac:dyDescent="0.3">
      <c r="A24" s="13" t="s">
        <v>201</v>
      </c>
      <c r="B24" s="12" t="s">
        <v>202</v>
      </c>
      <c r="C24" s="13" t="s">
        <v>200</v>
      </c>
      <c r="D24" s="13">
        <v>2100</v>
      </c>
      <c r="E24" s="12" t="s">
        <v>203</v>
      </c>
      <c r="F24" s="14"/>
      <c r="G24" s="14"/>
      <c r="H24" s="14"/>
      <c r="I24" s="14"/>
      <c r="J24" s="14"/>
      <c r="K24" s="14"/>
      <c r="L24" s="14"/>
      <c r="M24" s="14"/>
      <c r="N24" s="14"/>
      <c r="O24" s="14"/>
      <c r="P24" s="14"/>
      <c r="Q24" s="15"/>
      <c r="R24" s="15"/>
      <c r="S24" s="15"/>
      <c r="T24" s="15"/>
      <c r="U24" s="15"/>
      <c r="V24" s="15"/>
      <c r="W24" s="15"/>
      <c r="X24" s="15"/>
      <c r="Y24" s="15"/>
      <c r="Z24" s="15"/>
      <c r="AA24" s="15"/>
      <c r="AB24" s="15"/>
      <c r="AC24" s="15"/>
      <c r="AD24" s="15"/>
      <c r="AE24" s="15"/>
      <c r="AF24" s="15">
        <v>1</v>
      </c>
      <c r="AG24" s="15"/>
      <c r="AH24" s="15"/>
      <c r="AI24" s="15"/>
      <c r="AJ24" s="17">
        <f t="shared" si="0"/>
        <v>980</v>
      </c>
    </row>
    <row r="25" spans="1:36" ht="21.75" customHeight="1" x14ac:dyDescent="0.25">
      <c r="A25" s="38" t="s">
        <v>30</v>
      </c>
      <c r="B25" s="39"/>
      <c r="C25" s="39"/>
      <c r="D25" s="39"/>
      <c r="E25" s="40"/>
      <c r="F25" s="41">
        <f>SUM(AJ4:AJ24)</f>
        <v>37932.74</v>
      </c>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row>
    <row r="26" spans="1:36" ht="15.75" customHeight="1" x14ac:dyDescent="0.25">
      <c r="A26" s="30" t="s">
        <v>37</v>
      </c>
      <c r="B26" s="30"/>
      <c r="C26" s="30"/>
      <c r="D26" s="30"/>
      <c r="E26" s="31" t="s">
        <v>38</v>
      </c>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row>
    <row r="27" spans="1:36" ht="15.75" customHeight="1" x14ac:dyDescent="0.25">
      <c r="A27" s="30"/>
      <c r="B27" s="30"/>
      <c r="C27" s="30"/>
      <c r="D27" s="30"/>
      <c r="E27" s="31"/>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row>
    <row r="31" spans="1:36" x14ac:dyDescent="0.25">
      <c r="C31" s="23"/>
    </row>
    <row r="32" spans="1:36" x14ac:dyDescent="0.25">
      <c r="C32" s="23"/>
    </row>
    <row r="33" spans="3:38" x14ac:dyDescent="0.25">
      <c r="C33" s="23"/>
    </row>
    <row r="34" spans="3:38" x14ac:dyDescent="0.25">
      <c r="C34" s="23"/>
    </row>
    <row r="35" spans="3:38" s="22" customFormat="1" x14ac:dyDescent="0.25">
      <c r="C35" s="23"/>
      <c r="E35" s="1"/>
      <c r="AJ35" s="1"/>
      <c r="AK35" s="1"/>
      <c r="AL35" s="1"/>
    </row>
    <row r="36" spans="3:38" s="22" customFormat="1" x14ac:dyDescent="0.25">
      <c r="C36" s="23"/>
      <c r="E36" s="1"/>
      <c r="AJ36" s="1"/>
      <c r="AK36" s="1"/>
      <c r="AL36" s="1"/>
    </row>
    <row r="37" spans="3:38" s="22" customFormat="1" x14ac:dyDescent="0.25">
      <c r="C37" s="23"/>
      <c r="E37" s="1"/>
      <c r="AJ37" s="1"/>
      <c r="AK37" s="1"/>
      <c r="AL37" s="1"/>
    </row>
    <row r="38" spans="3:38" s="22" customFormat="1" x14ac:dyDescent="0.25">
      <c r="C38" s="23"/>
      <c r="E38" s="1"/>
      <c r="AJ38" s="1"/>
      <c r="AK38" s="1"/>
      <c r="AL38" s="1"/>
    </row>
    <row r="39" spans="3:38" s="22" customFormat="1" x14ac:dyDescent="0.25">
      <c r="C39" s="23"/>
      <c r="E39" s="1"/>
      <c r="AJ39" s="1"/>
      <c r="AK39" s="1"/>
      <c r="AL39" s="1"/>
    </row>
    <row r="40" spans="3:38" s="22" customFormat="1" x14ac:dyDescent="0.25">
      <c r="C40" s="23"/>
      <c r="E40" s="1"/>
      <c r="AJ40" s="1"/>
      <c r="AK40" s="1"/>
      <c r="AL40" s="1"/>
    </row>
    <row r="41" spans="3:38" s="22" customFormat="1" x14ac:dyDescent="0.25">
      <c r="C41" s="23"/>
      <c r="E41" s="1"/>
      <c r="AJ41" s="1"/>
      <c r="AK41" s="1"/>
      <c r="AL41" s="1"/>
    </row>
    <row r="42" spans="3:38" s="22" customFormat="1" x14ac:dyDescent="0.25">
      <c r="C42" s="23"/>
      <c r="E42" s="1"/>
      <c r="AJ42" s="1"/>
      <c r="AK42" s="1"/>
      <c r="AL42" s="1"/>
    </row>
    <row r="43" spans="3:38" s="22" customFormat="1" x14ac:dyDescent="0.25">
      <c r="C43" s="23"/>
      <c r="E43" s="1"/>
      <c r="AJ43" s="1"/>
      <c r="AK43" s="1"/>
      <c r="AL43" s="1"/>
    </row>
  </sheetData>
  <mergeCells count="10">
    <mergeCell ref="A26:D27"/>
    <mergeCell ref="E26:E27"/>
    <mergeCell ref="F26:AJ27"/>
    <mergeCell ref="A1:AJ1"/>
    <mergeCell ref="A2:A3"/>
    <mergeCell ref="B2:B3"/>
    <mergeCell ref="C2:C3"/>
    <mergeCell ref="D2:D3"/>
    <mergeCell ref="A25:E25"/>
    <mergeCell ref="F25:AJ25"/>
  </mergeCells>
  <phoneticPr fontId="3" type="noConversion"/>
  <printOptions horizontalCentered="1"/>
  <pageMargins left="0.23622047244094488" right="0.23622047244094488" top="0.74803149606299213" bottom="0" header="0.31496062992125984" footer="0.31496062992125984"/>
  <pageSetup paperSize="9" scale="75" fitToHeight="0"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115.01</vt:lpstr>
      <vt:lpstr>115.02</vt:lpstr>
      <vt:lpstr>115.03</vt:lpstr>
      <vt:lpstr>115.04</vt:lpstr>
      <vt:lpstr>115.05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Hannah</dc:creator>
  <cp:lastModifiedBy>智維 張</cp:lastModifiedBy>
  <cp:lastPrinted>2026-06-03T07:14:53Z</cp:lastPrinted>
  <dcterms:created xsi:type="dcterms:W3CDTF">2026-02-03T01:11:04Z</dcterms:created>
  <dcterms:modified xsi:type="dcterms:W3CDTF">2026-06-17T16:31:20Z</dcterms:modified>
</cp:coreProperties>
</file>